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기관별 집행계획" sheetId="1" state="visible" r:id="rId1"/>
    <sheet xmlns:r="http://schemas.openxmlformats.org/officeDocument/2006/relationships" name="총괄표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-* #,##0_-;\-* #,##0_-;_-* &quot;-&quot;_-;_-@_-"/>
    <numFmt numFmtId="166" formatCode="0_);[Red]\(0\)"/>
  </numFmts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rgb="FF00B0F0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B0F0"/>
      <sz val="14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i val="1"/>
      <color rgb="FF00B0F0"/>
      <sz val="11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i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2">
      <alignment horizontal="center" vertical="center"/>
    </xf>
    <xf numFmtId="165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65" fontId="10" fillId="3" borderId="3" applyAlignment="1" pivotButton="0" quotePrefix="0" xfId="1">
      <alignment horizontal="center" vertical="center"/>
    </xf>
    <xf numFmtId="165" fontId="4" fillId="3" borderId="1" applyAlignment="1" pivotButton="0" quotePrefix="0" xfId="1">
      <alignment horizontal="center" vertical="center"/>
    </xf>
    <xf numFmtId="164" fontId="4" fillId="3" borderId="1" applyAlignment="1" pivotButton="0" quotePrefix="0" xfId="2">
      <alignment horizontal="center" vertical="center"/>
    </xf>
    <xf numFmtId="164" fontId="0" fillId="3" borderId="1" applyAlignment="1" pivotButton="0" quotePrefix="0" xfId="2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13" fillId="4" borderId="0" applyAlignment="1" pivotButton="0" quotePrefix="0" xfId="0">
      <alignment horizontal="center" vertical="center" wrapText="1"/>
    </xf>
    <xf numFmtId="165" fontId="15" fillId="0" borderId="0" applyAlignment="1" applyProtection="1" pivotButton="0" quotePrefix="0" xfId="0">
      <alignment vertical="center" wrapText="1"/>
      <protection locked="0" hidden="0"/>
    </xf>
    <xf numFmtId="165" fontId="5" fillId="0" borderId="0" applyAlignment="1" pivotButton="0" quotePrefix="0" xfId="0">
      <alignment vertical="center" wrapText="1"/>
    </xf>
    <xf numFmtId="0" fontId="14" fillId="0" borderId="1" applyAlignment="1" applyProtection="1" pivotButton="0" quotePrefix="0" xfId="0">
      <alignment vertical="center"/>
      <protection locked="0" hidden="0"/>
    </xf>
    <xf numFmtId="165" fontId="0" fillId="0" borderId="1" applyAlignment="1" applyProtection="1" pivotButton="0" quotePrefix="0" xfId="1">
      <alignment vertical="center"/>
      <protection locked="0" hidden="0"/>
    </xf>
    <xf numFmtId="165" fontId="0" fillId="0" borderId="1" applyAlignment="1" applyProtection="1" pivotButton="0" quotePrefix="0" xfId="1">
      <alignment horizontal="center" vertical="center"/>
      <protection locked="0" hidden="0"/>
    </xf>
    <xf numFmtId="0" fontId="0" fillId="0" borderId="1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165" fontId="6" fillId="0" borderId="1" applyAlignment="1" applyProtection="1" pivotButton="0" quotePrefix="0" xfId="1">
      <alignment vertical="center" wrapText="1"/>
      <protection locked="0" hidden="0"/>
    </xf>
    <xf numFmtId="165" fontId="6" fillId="0" borderId="1" applyAlignment="1" applyProtection="1" pivotButton="0" quotePrefix="0" xfId="1">
      <alignment horizontal="center" vertical="center"/>
      <protection locked="0" hidden="0"/>
    </xf>
    <xf numFmtId="0" fontId="17" fillId="0" borderId="1" applyAlignment="1" applyProtection="1" pivotButton="0" quotePrefix="0" xfId="0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0" fontId="8" fillId="0" borderId="1" applyAlignment="1" applyProtection="1" pivotButton="0" quotePrefix="0" xfId="0">
      <alignment vertical="center"/>
      <protection locked="0" hidden="0"/>
    </xf>
    <xf numFmtId="0" fontId="8" fillId="0" borderId="1" applyAlignment="1" applyProtection="1" pivotButton="0" quotePrefix="0" xfId="0">
      <alignment vertical="center" wrapText="1"/>
      <protection locked="0" hidden="0"/>
    </xf>
    <xf numFmtId="165" fontId="8" fillId="0" borderId="1" applyAlignment="1" applyProtection="1" pivotButton="0" quotePrefix="0" xfId="1">
      <alignment vertical="center" wrapText="1"/>
      <protection locked="0" hidden="0"/>
    </xf>
    <xf numFmtId="0" fontId="12" fillId="0" borderId="0" applyAlignment="1" applyProtection="1" pivotButton="0" quotePrefix="0" xfId="0">
      <alignment horizontal="left" vertical="center" wrapText="1"/>
      <protection locked="0" hidden="0"/>
    </xf>
    <xf numFmtId="165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2">
      <alignment horizontal="center" vertical="center"/>
    </xf>
    <xf numFmtId="3" fontId="10" fillId="0" borderId="0" applyAlignment="1" applyProtection="1" pivotButton="0" quotePrefix="0" xfId="1">
      <alignment horizontal="left" vertical="center"/>
      <protection locked="0" hidden="0"/>
    </xf>
    <xf numFmtId="3" fontId="9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7" fillId="0" borderId="1" applyAlignment="1" applyProtection="1" pivotButton="0" quotePrefix="0" xfId="0">
      <alignment vertical="center" wrapText="1"/>
      <protection locked="0" hidden="0"/>
    </xf>
    <xf numFmtId="0" fontId="0" fillId="0" borderId="0" pivotButton="0" quotePrefix="0" xfId="0"/>
    <xf numFmtId="0" fontId="0" fillId="0" borderId="8" pivotButton="0" quotePrefix="0" xfId="0"/>
    <xf numFmtId="166" fontId="0" fillId="0" borderId="0" applyAlignment="1" pivotButton="0" quotePrefix="0" xfId="0">
      <alignment vertical="center"/>
    </xf>
    <xf numFmtId="165" fontId="0" fillId="0" borderId="1" applyAlignment="1" applyProtection="1" pivotButton="0" quotePrefix="0" xfId="1">
      <alignment vertical="center"/>
      <protection locked="0" hidden="0"/>
    </xf>
    <xf numFmtId="165" fontId="0" fillId="0" borderId="1" applyAlignment="1" applyProtection="1" pivotButton="0" quotePrefix="0" xfId="1">
      <alignment horizontal="center" vertical="center"/>
      <protection locked="0" hidden="0"/>
    </xf>
    <xf numFmtId="164" fontId="0" fillId="3" borderId="1" applyAlignment="1" pivotButton="0" quotePrefix="0" xfId="2">
      <alignment horizontal="center" vertical="center"/>
    </xf>
    <xf numFmtId="0" fontId="0" fillId="0" borderId="6" pivotButton="0" quotePrefix="0" xfId="0"/>
    <xf numFmtId="165" fontId="6" fillId="0" borderId="1" applyAlignment="1" applyProtection="1" pivotButton="0" quotePrefix="0" xfId="1">
      <alignment vertical="center" wrapText="1"/>
      <protection locked="0" hidden="0"/>
    </xf>
    <xf numFmtId="165" fontId="6" fillId="0" borderId="1" applyAlignment="1" applyProtection="1" pivotButton="0" quotePrefix="0" xfId="1">
      <alignment horizontal="center" vertical="center"/>
      <protection locked="0" hidden="0"/>
    </xf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165" fontId="10" fillId="3" borderId="3" applyAlignment="1" pivotButton="0" quotePrefix="0" xfId="1">
      <alignment horizontal="center" vertical="center"/>
    </xf>
    <xf numFmtId="165" fontId="4" fillId="3" borderId="1" applyAlignment="1" pivotButton="0" quotePrefix="0" xfId="1">
      <alignment horizontal="center" vertical="center"/>
    </xf>
    <xf numFmtId="164" fontId="4" fillId="3" borderId="1" applyAlignment="1" pivotButton="0" quotePrefix="0" xfId="2">
      <alignment horizontal="center" vertical="center"/>
    </xf>
    <xf numFmtId="165" fontId="8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8" fillId="0" borderId="1" applyAlignment="1" applyProtection="1" pivotButton="0" quotePrefix="0" xfId="1">
      <alignment vertical="center" wrapText="1"/>
      <protection locked="0" hidden="0"/>
    </xf>
    <xf numFmtId="0" fontId="17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165" fontId="15" fillId="0" borderId="0" applyAlignment="1" applyProtection="1" pivotButton="0" quotePrefix="0" xfId="0">
      <alignment vertical="center" wrapText="1"/>
      <protection locked="0" hidden="0"/>
    </xf>
    <xf numFmtId="165" fontId="5" fillId="0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2">
      <alignment horizontal="center" vertical="center"/>
    </xf>
    <xf numFmtId="165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horizontal="center"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4"/>
  <sheetViews>
    <sheetView showGridLines="0" tabSelected="1" topLeftCell="A19" zoomScale="85" zoomScaleNormal="85" workbookViewId="0">
      <selection activeCell="D36" sqref="D36"/>
    </sheetView>
  </sheetViews>
  <sheetFormatPr baseColWidth="8" defaultColWidth="8.625" defaultRowHeight="16.5"/>
  <cols>
    <col width="9" customWidth="1" style="50" min="2" max="2"/>
    <col width="15.5" bestFit="1" customWidth="1" style="50" min="3" max="3"/>
    <col width="53.75" customWidth="1" style="50" min="4" max="4"/>
    <col width="17" customWidth="1" style="50" min="5" max="5"/>
    <col width="17.125" customWidth="1" style="50" min="6" max="6"/>
    <col width="17.125" customWidth="1" style="1" min="7" max="7"/>
    <col width="13" customWidth="1" style="50" min="8" max="8"/>
    <col width="17.375" customWidth="1" style="50" min="9" max="9"/>
  </cols>
  <sheetData>
    <row r="2" ht="24" customHeight="1" s="50">
      <c r="B2" s="2" t="inlineStr">
        <is>
          <t>연구비 집행계획(기관별)</t>
        </is>
      </c>
    </row>
    <row r="3" ht="88.5" customHeight="1" s="50">
      <c r="B3" s="40" t="inlineStr">
        <is>
          <t>1. 1차년도 종료일인 12.31.까지의 예산 집행계획을 현장점검일 기준으로 작성
2. 작성단위는 천원이며, 편성예산 합계액이 기관별 당해년도 연구개발비의 총계와 동일해야 함
3. 항목간 금액을 변경하여 사용 예정인 경우, 해당사항을 반영한 금액으로 작성
4. 사용계획은 사용목적 + 금액(집행월) 양식으로 작성(집행완료내역은 작성 X)
5. 하늘색 글씨는 예시로 삭제 후 계획에 맞게 기입하시면 되며, 노란색 셀은 수식이 걸려있으니 수정 X</t>
        </is>
      </c>
    </row>
    <row r="4" ht="18" customHeight="1" s="50">
      <c r="B4" s="40" t="n"/>
      <c r="C4" s="40" t="n"/>
      <c r="D4" s="40" t="n"/>
      <c r="E4" s="40" t="n"/>
      <c r="F4" s="40" t="n"/>
      <c r="G4" s="40" t="n"/>
      <c r="H4" s="40" t="n"/>
      <c r="I4" s="40" t="n"/>
    </row>
    <row r="5" ht="18" customHeight="1" s="50">
      <c r="B5" s="13" t="inlineStr">
        <is>
          <t>과제명:</t>
        </is>
      </c>
      <c r="C5" s="33" t="inlineStr">
        <is>
          <t>과제명 작성</t>
        </is>
      </c>
      <c r="D5" s="40" t="n"/>
      <c r="E5" s="40" t="n"/>
      <c r="F5" s="40" t="n"/>
      <c r="G5" s="40" t="n"/>
      <c r="H5" s="40" t="n"/>
      <c r="I5" s="40" t="n"/>
    </row>
    <row r="6" ht="18" customHeight="1" s="50">
      <c r="B6" s="40" t="n"/>
      <c r="C6" s="40" t="n"/>
      <c r="D6" s="40" t="n"/>
      <c r="E6" s="40" t="n"/>
      <c r="F6" s="40" t="n"/>
      <c r="G6" s="40" t="n"/>
      <c r="H6" s="40" t="n"/>
      <c r="I6" s="40" t="n"/>
    </row>
    <row r="7" ht="20.25" customHeight="1" s="50">
      <c r="B7" s="39" t="inlineStr">
        <is>
          <t>1. 주관연구개발기관명</t>
        </is>
      </c>
    </row>
    <row r="8">
      <c r="B8" s="47" t="inlineStr">
        <is>
          <t>당해년도 연구개발비(현금)</t>
        </is>
      </c>
      <c r="C8" s="51" t="n"/>
      <c r="D8" s="37" t="inlineStr">
        <is>
          <t>○,○○○,○○○천원</t>
        </is>
      </c>
      <c r="E8" s="52" t="n"/>
      <c r="F8" s="52" t="n"/>
      <c r="I8" s="15" t="inlineStr">
        <is>
          <t>(단위 : 천원)</t>
        </is>
      </c>
    </row>
    <row r="9">
      <c r="B9" s="48" t="inlineStr">
        <is>
          <t>비목</t>
        </is>
      </c>
      <c r="C9" s="48" t="inlineStr">
        <is>
          <t>항목</t>
        </is>
      </c>
      <c r="D9" s="48" t="inlineStr">
        <is>
          <t>사용계획</t>
        </is>
      </c>
      <c r="E9" s="48" t="inlineStr">
        <is>
          <t>편성예산</t>
        </is>
      </c>
      <c r="F9" s="48" t="inlineStr">
        <is>
          <t>집행완료금액(천원)</t>
        </is>
      </c>
      <c r="G9" s="48" t="inlineStr">
        <is>
          <t>사용예정액(천원)</t>
        </is>
      </c>
      <c r="H9" s="48" t="inlineStr">
        <is>
          <t>기집행률(%)</t>
        </is>
      </c>
      <c r="I9" s="48" t="inlineStr">
        <is>
          <t>연말 집행예정(%)</t>
        </is>
      </c>
    </row>
    <row r="10">
      <c r="B10" s="48" t="inlineStr">
        <is>
          <t>직접비</t>
        </is>
      </c>
      <c r="C10" s="48" t="inlineStr">
        <is>
          <t>연구활동비</t>
        </is>
      </c>
      <c r="D10" s="20" t="inlineStr">
        <is>
          <t>사용목적+금액(집행월) 양식으로 작성</t>
        </is>
      </c>
      <c r="E10" s="53" t="n"/>
      <c r="F10" s="53" t="n"/>
      <c r="G10" s="54" t="n"/>
      <c r="H10" s="55">
        <f>F10/E10</f>
        <v/>
      </c>
      <c r="I10" s="55">
        <f>(F10+G10)/E10</f>
        <v/>
      </c>
    </row>
    <row r="11">
      <c r="B11" s="56" t="n"/>
      <c r="C11" s="48" t="inlineStr">
        <is>
          <t>연구수당</t>
        </is>
      </c>
      <c r="D11" s="23" t="n"/>
      <c r="E11" s="53" t="n"/>
      <c r="F11" s="53" t="n"/>
      <c r="G11" s="54" t="n"/>
      <c r="H11" s="55">
        <f>F11/E11</f>
        <v/>
      </c>
      <c r="I11" s="55">
        <f>(F11+G11)/E11</f>
        <v/>
      </c>
    </row>
    <row r="12" ht="49.5" customHeight="1" s="50">
      <c r="B12" s="56" t="n"/>
      <c r="C12" s="48" t="inlineStr">
        <is>
          <t>인건비</t>
        </is>
      </c>
      <c r="D12" s="24" t="inlineStr">
        <is>
          <t>(예) 
A기업 11월분 인건비 지급 7,000천원(11월)
A기업 12월분 인건비 지급 7,000천원(12월)</t>
        </is>
      </c>
      <c r="E12" s="57" t="n">
        <v>20000</v>
      </c>
      <c r="F12" s="57" t="n">
        <v>6000</v>
      </c>
      <c r="G12" s="58" t="n">
        <v>14000</v>
      </c>
      <c r="H12" s="55">
        <f>F12/E12</f>
        <v/>
      </c>
      <c r="I12" s="55">
        <f>(F12+G12)/E12</f>
        <v/>
      </c>
    </row>
    <row r="13">
      <c r="B13" s="56" t="n"/>
      <c r="C13" s="48" t="inlineStr">
        <is>
          <t>학생인건비</t>
        </is>
      </c>
      <c r="D13" s="23" t="n"/>
      <c r="E13" s="53" t="n"/>
      <c r="F13" s="53" t="n"/>
      <c r="G13" s="54" t="n"/>
      <c r="H13" s="55">
        <f>F13/E13</f>
        <v/>
      </c>
      <c r="I13" s="55">
        <f>(F13+G13)/E13</f>
        <v/>
      </c>
    </row>
    <row r="14">
      <c r="B14" s="56" t="n"/>
      <c r="C14" s="48" t="inlineStr">
        <is>
          <t>연구시설·장비비</t>
        </is>
      </c>
      <c r="D14" s="23" t="n"/>
      <c r="E14" s="53" t="n"/>
      <c r="F14" s="53" t="n"/>
      <c r="G14" s="54" t="n"/>
      <c r="H14" s="55">
        <f>F14/E14</f>
        <v/>
      </c>
      <c r="I14" s="55">
        <f>(F14+G14)/E14</f>
        <v/>
      </c>
    </row>
    <row r="15" ht="49.5" customHeight="1" s="50">
      <c r="B15" s="56" t="n"/>
      <c r="C15" s="48" t="inlineStr">
        <is>
          <t>연구재료비</t>
        </is>
      </c>
      <c r="D15" s="24" t="inlineStr">
        <is>
          <t>(예) 
A부품 구매대금 지급 1,000천원(10월)
B부품 구매대금 지급 25,000천원(12월)</t>
        </is>
      </c>
      <c r="E15" s="57" t="n">
        <v>50000</v>
      </c>
      <c r="F15" s="57" t="n">
        <v>34900</v>
      </c>
      <c r="G15" s="58" t="n">
        <v>15100</v>
      </c>
      <c r="H15" s="55">
        <f>F15/E15</f>
        <v/>
      </c>
      <c r="I15" s="55">
        <f>(F15+G15)/E15</f>
        <v/>
      </c>
    </row>
    <row r="16">
      <c r="B16" s="59" t="n"/>
      <c r="C16" s="48" t="inlineStr">
        <is>
          <t>연구개발부담비</t>
        </is>
      </c>
      <c r="D16" s="23" t="n"/>
      <c r="E16" s="53" t="n"/>
      <c r="F16" s="53" t="n"/>
      <c r="G16" s="54" t="n"/>
      <c r="H16" s="55">
        <f>F16/E16</f>
        <v/>
      </c>
      <c r="I16" s="55">
        <f>(F16+G16)/E16</f>
        <v/>
      </c>
    </row>
    <row r="17">
      <c r="B17" s="48" t="inlineStr">
        <is>
          <t>간접비</t>
        </is>
      </c>
      <c r="C17" s="48" t="inlineStr">
        <is>
          <t>간접비</t>
        </is>
      </c>
      <c r="D17" s="23" t="n"/>
      <c r="E17" s="53" t="n"/>
      <c r="F17" s="53" t="n"/>
      <c r="G17" s="54" t="n"/>
      <c r="H17" s="55">
        <f>F17/E17</f>
        <v/>
      </c>
      <c r="I17" s="55">
        <f>(F17+G17)/E17</f>
        <v/>
      </c>
    </row>
    <row r="18">
      <c r="B18" s="48" t="inlineStr">
        <is>
          <t>합계</t>
        </is>
      </c>
      <c r="C18" s="60" t="n"/>
      <c r="D18" s="61" t="n"/>
      <c r="E18" s="62">
        <f>SUM(E10:E17)</f>
        <v/>
      </c>
      <c r="F18" s="62">
        <f>SUM(F10:F17)</f>
        <v/>
      </c>
      <c r="G18" s="63">
        <f>SUM(G10:G17)</f>
        <v/>
      </c>
      <c r="H18" s="64">
        <f>F18/E18</f>
        <v/>
      </c>
      <c r="I18" s="64">
        <f>(H18+G18)/F18</f>
        <v/>
      </c>
    </row>
    <row r="20" ht="20.25" customHeight="1" s="50">
      <c r="B20" s="39" t="inlineStr">
        <is>
          <t>2. 공동연구개발기관명</t>
        </is>
      </c>
    </row>
    <row r="21">
      <c r="B21" s="47" t="inlineStr">
        <is>
          <t>당해년도 연구개발비(현금)</t>
        </is>
      </c>
      <c r="C21" s="51" t="n"/>
      <c r="D21" s="38" t="n"/>
      <c r="E21" s="52" t="n"/>
      <c r="F21" s="52" t="n"/>
      <c r="I21" s="15" t="inlineStr">
        <is>
          <t>(단위 : 천원)</t>
        </is>
      </c>
    </row>
    <row r="22">
      <c r="B22" s="48" t="inlineStr">
        <is>
          <t>비목</t>
        </is>
      </c>
      <c r="C22" s="48" t="inlineStr">
        <is>
          <t>항목</t>
        </is>
      </c>
      <c r="D22" s="48" t="inlineStr">
        <is>
          <t>사용계획</t>
        </is>
      </c>
      <c r="E22" s="48" t="inlineStr">
        <is>
          <t>편성예산</t>
        </is>
      </c>
      <c r="F22" s="48" t="inlineStr">
        <is>
          <t>집행완료금액(천원)</t>
        </is>
      </c>
      <c r="G22" s="48" t="inlineStr">
        <is>
          <t>사용예정액(천원)</t>
        </is>
      </c>
      <c r="H22" s="48" t="inlineStr">
        <is>
          <t>기집행률(%)</t>
        </is>
      </c>
      <c r="I22" s="48" t="inlineStr">
        <is>
          <t>연말 집행예정(%)</t>
        </is>
      </c>
    </row>
    <row r="23">
      <c r="B23" s="48" t="inlineStr">
        <is>
          <t>직접비</t>
        </is>
      </c>
      <c r="C23" s="48" t="inlineStr">
        <is>
          <t>연구활동비</t>
        </is>
      </c>
      <c r="D23" s="27" t="n"/>
      <c r="E23" s="65" t="n"/>
      <c r="F23" s="65" t="n"/>
      <c r="G23" s="66" t="n"/>
      <c r="H23" s="55">
        <f>F23/E23</f>
        <v/>
      </c>
      <c r="I23" s="55">
        <f>(F23+G23)/E23</f>
        <v/>
      </c>
    </row>
    <row r="24">
      <c r="B24" s="56" t="n"/>
      <c r="C24" s="48" t="inlineStr">
        <is>
          <t>연구수당</t>
        </is>
      </c>
      <c r="D24" s="30" t="n"/>
      <c r="E24" s="65" t="n"/>
      <c r="F24" s="65" t="n"/>
      <c r="G24" s="66" t="n"/>
      <c r="H24" s="55">
        <f>F24/E24</f>
        <v/>
      </c>
      <c r="I24" s="55">
        <f>(F24+G24)/E24</f>
        <v/>
      </c>
    </row>
    <row r="25">
      <c r="B25" s="56" t="n"/>
      <c r="C25" s="48" t="inlineStr">
        <is>
          <t>인건비</t>
        </is>
      </c>
      <c r="D25" s="31" t="n"/>
      <c r="E25" s="67" t="n"/>
      <c r="F25" s="67" t="n"/>
      <c r="G25" s="66" t="n"/>
      <c r="H25" s="55">
        <f>F25/E25</f>
        <v/>
      </c>
      <c r="I25" s="55">
        <f>(F25+G25)/E25</f>
        <v/>
      </c>
    </row>
    <row r="26">
      <c r="B26" s="56" t="n"/>
      <c r="C26" s="48" t="inlineStr">
        <is>
          <t>학생인건비</t>
        </is>
      </c>
      <c r="D26" s="30" t="n"/>
      <c r="E26" s="65" t="n"/>
      <c r="F26" s="65" t="n"/>
      <c r="G26" s="66" t="n"/>
      <c r="H26" s="55">
        <f>F26/E26</f>
        <v/>
      </c>
      <c r="I26" s="55">
        <f>(F26+G26)/E26</f>
        <v/>
      </c>
    </row>
    <row r="27">
      <c r="B27" s="56" t="n"/>
      <c r="C27" s="48" t="inlineStr">
        <is>
          <t>연구시설·장비비</t>
        </is>
      </c>
      <c r="D27" s="30" t="n"/>
      <c r="E27" s="65" t="n"/>
      <c r="F27" s="65" t="n"/>
      <c r="G27" s="66" t="n"/>
      <c r="H27" s="55">
        <f>F27/E27</f>
        <v/>
      </c>
      <c r="I27" s="55">
        <f>(F27+G27)/E27</f>
        <v/>
      </c>
    </row>
    <row r="28">
      <c r="B28" s="56" t="n"/>
      <c r="C28" s="48" t="inlineStr">
        <is>
          <t>연구재료비</t>
        </is>
      </c>
      <c r="D28" s="31" t="n"/>
      <c r="E28" s="67" t="n"/>
      <c r="F28" s="67" t="n"/>
      <c r="G28" s="66" t="n"/>
      <c r="H28" s="55">
        <f>F28/E28</f>
        <v/>
      </c>
      <c r="I28" s="55">
        <f>(F28+G28)/E28</f>
        <v/>
      </c>
    </row>
    <row r="29">
      <c r="B29" s="59" t="n"/>
      <c r="C29" s="48" t="inlineStr">
        <is>
          <t>연구개발부담비</t>
        </is>
      </c>
      <c r="D29" s="30" t="n"/>
      <c r="E29" s="65" t="n"/>
      <c r="F29" s="65" t="n"/>
      <c r="G29" s="66" t="n"/>
      <c r="H29" s="55">
        <f>F29/E29</f>
        <v/>
      </c>
      <c r="I29" s="55">
        <f>(F29+G29)/E29</f>
        <v/>
      </c>
    </row>
    <row r="30">
      <c r="B30" s="48" t="inlineStr">
        <is>
          <t>간접비</t>
        </is>
      </c>
      <c r="C30" s="48" t="inlineStr">
        <is>
          <t>간접비</t>
        </is>
      </c>
      <c r="D30" s="30" t="n"/>
      <c r="E30" s="65" t="n"/>
      <c r="F30" s="65" t="n"/>
      <c r="G30" s="66" t="n"/>
      <c r="H30" s="55">
        <f>F30/E30</f>
        <v/>
      </c>
      <c r="I30" s="55">
        <f>(F30+G30)/E30</f>
        <v/>
      </c>
    </row>
    <row r="31">
      <c r="B31" s="48" t="inlineStr">
        <is>
          <t>합계</t>
        </is>
      </c>
      <c r="C31" s="60" t="n"/>
      <c r="D31" s="61" t="n"/>
      <c r="E31" s="62">
        <f>SUM(E23:E30)</f>
        <v/>
      </c>
      <c r="F31" s="62">
        <f>SUM(F23:F30)</f>
        <v/>
      </c>
      <c r="G31" s="63">
        <f>SUM(G23:G30)</f>
        <v/>
      </c>
      <c r="H31" s="64">
        <f>F31/E31</f>
        <v/>
      </c>
      <c r="I31" s="64">
        <f>(F31+G31)/E31</f>
        <v/>
      </c>
    </row>
    <row r="33" ht="20.25" customHeight="1" s="50">
      <c r="B33" s="39" t="inlineStr">
        <is>
          <t>3. 공동연구개발기관명: 농업회사법인 주식회사 디투오(D2O)</t>
        </is>
      </c>
    </row>
    <row r="34">
      <c r="B34" s="47" t="inlineStr">
        <is>
          <t>당해년도 연구개발비(현금)</t>
        </is>
      </c>
      <c r="C34" s="51" t="n"/>
      <c r="D34" s="38" t="inlineStr">
        <is>
          <t>52,463천원</t>
        </is>
      </c>
      <c r="E34" s="52" t="n"/>
      <c r="F34" s="52" t="n"/>
      <c r="H34" s="15" t="n"/>
      <c r="I34" s="15" t="inlineStr">
        <is>
          <t>(단위 : 천원)</t>
        </is>
      </c>
    </row>
    <row r="35">
      <c r="B35" s="48" t="inlineStr">
        <is>
          <t>비목</t>
        </is>
      </c>
      <c r="C35" s="48" t="inlineStr">
        <is>
          <t>항목</t>
        </is>
      </c>
      <c r="D35" s="48" t="inlineStr">
        <is>
          <t>사용계획</t>
        </is>
      </c>
      <c r="E35" s="48" t="inlineStr">
        <is>
          <t>편성예산</t>
        </is>
      </c>
      <c r="F35" s="48" t="inlineStr">
        <is>
          <t>집행완료금액(천원)</t>
        </is>
      </c>
      <c r="G35" s="48" t="inlineStr">
        <is>
          <t>사용예정액(천원)</t>
        </is>
      </c>
      <c r="H35" s="48" t="inlineStr">
        <is>
          <t>기집행률(%)</t>
        </is>
      </c>
      <c r="I35" s="48" t="inlineStr">
        <is>
          <t>연말 집행예정(%)</t>
        </is>
      </c>
    </row>
    <row r="36" ht="150" customHeight="1" s="50">
      <c r="B36" s="48" t="inlineStr">
        <is>
          <t>직접비</t>
        </is>
      </c>
      <c r="C36" s="48" t="inlineStr">
        <is>
          <t>연구활동비</t>
        </is>
      </c>
      <c r="D36" s="69" t="inlineStr">
        <is>
          <t>· 회의비: 외부 전문가 자문회의(산·학·관 전문가 6인 초청) 1차 1,000천원(11월 초), 2차 1,000천원(12월 초)
   - 1차: 갈전구리 실증 설계·HBP 운영 기준 검증 / 2차: 수동 교반 기준선 데이터·실증지 요구사항 검토
   - 회당 전문가 자문수당 3인 및 회의 식비·다과
· 국내여비: 주관기관(GMW)·충남대 실증 협의 및 현장 출장 1,300천원(11월), 1,421.555천원(12월)
· 사무실운영비: 실증 기록·사무 소모품 500천원(11월), 500천원(12월)
· 야근·특근 식대: 참여연구원 저녁 2회차 교반·실증 기록 300천원(11월), 300천원(12월)
· 우편요금: 자료·시료 발송 200천원(11월), 200천원(12월)
· 문헌구입비: CBP·깔개관리·악취저감 관련 문헌 1,000천원(11월)
· 국외여비: 해외 CBP 우사·깔개관리 기술동향 조사 1,000천원(12월)
※ 연구활동비 전액 12월 말까지 집행 완료</t>
        </is>
      </c>
      <c r="E36" s="65" t="n">
        <v>9000</v>
      </c>
      <c r="F36" s="65" t="n">
        <v>278.445</v>
      </c>
      <c r="G36" s="66" t="n">
        <v>8721.555</v>
      </c>
      <c r="H36" s="55">
        <f>IF(E36=0,"-",F36/E36)</f>
        <v/>
      </c>
      <c r="I36" s="55">
        <f>IF(E36=0,"-",(F36+G36)/E36)</f>
        <v/>
      </c>
    </row>
    <row r="37" ht="33" customHeight="1" s="50">
      <c r="B37" s="56" t="n"/>
      <c r="C37" s="48" t="inlineStr">
        <is>
          <t>연구수당</t>
        </is>
      </c>
      <c r="D37" s="69" t="inlineStr">
        <is>
          <t>· 연구수당: 참여연구원 연구수당 1,463천원(12월)
   - 1차년도 연구성과 기여도 평가 후 지급
※ 12월 말까지 집행 완료</t>
        </is>
      </c>
      <c r="E37" s="65" t="n">
        <v>1463</v>
      </c>
      <c r="F37" s="65" t="n">
        <v>0</v>
      </c>
      <c r="G37" s="66" t="n">
        <v>1463</v>
      </c>
      <c r="H37" s="55">
        <f>IF(E37=0,"-",F37/E37)</f>
        <v/>
      </c>
      <c r="I37" s="55">
        <f>IF(E37=0,"-",(F37+G37)/E37)</f>
        <v/>
      </c>
    </row>
    <row r="38" ht="66" customHeight="1" s="50">
      <c r="B38" s="56" t="n"/>
      <c r="C38" s="48" t="inlineStr">
        <is>
          <t>인건비</t>
        </is>
      </c>
      <c r="D38" s="69" t="inlineStr">
        <is>
          <t>· 인건비: 신규 참여연구원(과장, 참여율 100%) 인건비 현금분
   - 10월분 1,306천원(10월), 11월분 1,306천원(11월), 12월분 1,306천원(12월)
※ 12월 말까지 집행 완료</t>
        </is>
      </c>
      <c r="E38" s="67" t="n">
        <v>7836</v>
      </c>
      <c r="F38" s="67" t="n">
        <v>3918</v>
      </c>
      <c r="G38" s="66" t="n">
        <v>3918</v>
      </c>
      <c r="H38" s="55">
        <f>IF(E38=0,"-",F38/E38)</f>
        <v/>
      </c>
      <c r="I38" s="55">
        <f>IF(E38=0,"-",(F38+G38)/E38)</f>
        <v/>
      </c>
    </row>
    <row r="39">
      <c r="B39" s="56" t="n"/>
      <c r="C39" s="48" t="inlineStr">
        <is>
          <t>학생인건비</t>
        </is>
      </c>
      <c r="D39" s="69" t="inlineStr">
        <is>
          <t>해당 없음</t>
        </is>
      </c>
      <c r="E39" s="65" t="n">
        <v>0</v>
      </c>
      <c r="F39" s="65" t="n">
        <v>0</v>
      </c>
      <c r="G39" s="66" t="n">
        <v>0</v>
      </c>
      <c r="H39" s="55">
        <f>IF(E39=0,"-",F39/E39)</f>
        <v/>
      </c>
      <c r="I39" s="55">
        <f>IF(E39=0,"-",(F39+G39)/E39)</f>
        <v/>
      </c>
    </row>
    <row r="40">
      <c r="B40" s="56" t="n"/>
      <c r="C40" s="48" t="inlineStr">
        <is>
          <t>연구시설·장비비</t>
        </is>
      </c>
      <c r="D40" s="69" t="inlineStr">
        <is>
          <t>해당 없음</t>
        </is>
      </c>
      <c r="E40" s="65" t="n">
        <v>0</v>
      </c>
      <c r="F40" s="65" t="n">
        <v>0</v>
      </c>
      <c r="G40" s="66" t="n">
        <v>0</v>
      </c>
      <c r="H40" s="55">
        <f>IF(E40=0,"-",F40/E40)</f>
        <v/>
      </c>
      <c r="I40" s="55">
        <f>IF(E40=0,"-",(F40+G40)/E40)</f>
        <v/>
      </c>
    </row>
    <row r="41" ht="115" customHeight="1" s="50">
      <c r="B41" s="56" t="n"/>
      <c r="C41" s="48" t="inlineStr">
        <is>
          <t>연구재료비</t>
        </is>
      </c>
      <c r="D41" s="69" t="inlineStr">
        <is>
          <t>· 피트모스 구매: 11,164천원(11월 초 구입) — 1,116.4천원 × 10
· 깔짚(톱밥) 구매: 11,000천원(11월 초 구입) — 1,100천원 × 10
   - 실증 우사(송영신목장) 겨울철~봄철 HBP 침상 준비용 (11월 초 일괄 구입·입고 후 침상 보충에 순차 투입)
· 연료비(장비운행): 트랙터 1일 2회 수동 교반(갈전구리 비교 기준선 확보) 5,000천원(11월), 5,000천원(12월) — 500천원 × 20회, 12월 말까지 집행 완료</t>
        </is>
      </c>
      <c r="E41" s="67" t="n">
        <v>32164</v>
      </c>
      <c r="F41" s="67" t="n">
        <v>0</v>
      </c>
      <c r="G41" s="66" t="n">
        <v>32164</v>
      </c>
      <c r="H41" s="55">
        <f>IF(E41=0,"-",F41/E41)</f>
        <v/>
      </c>
      <c r="I41" s="55">
        <f>IF(E41=0,"-",(F41+G41)/E41)</f>
        <v/>
      </c>
    </row>
    <row r="42">
      <c r="B42" s="59" t="n"/>
      <c r="C42" s="48" t="inlineStr">
        <is>
          <t>연구개발부담비</t>
        </is>
      </c>
      <c r="D42" s="69" t="inlineStr">
        <is>
          <t>해당 없음</t>
        </is>
      </c>
      <c r="E42" s="65" t="n">
        <v>0</v>
      </c>
      <c r="F42" s="65" t="n">
        <v>0</v>
      </c>
      <c r="G42" s="66" t="n">
        <v>0</v>
      </c>
      <c r="H42" s="55">
        <f>IF(E42=0,"-",F42/E42)</f>
        <v/>
      </c>
      <c r="I42" s="55">
        <f>IF(E42=0,"-",(F42+G42)/E42)</f>
        <v/>
      </c>
    </row>
    <row r="43" ht="33" customHeight="1" s="50">
      <c r="B43" s="48" t="inlineStr">
        <is>
          <t>간접비</t>
        </is>
      </c>
      <c r="C43" s="48" t="inlineStr">
        <is>
          <t>간접비</t>
        </is>
      </c>
      <c r="D43" s="69" t="inlineStr">
        <is>
          <t>· 지식재산권 출원: 실증 성과 관련 특허 출원 비용 2,000천원(12월)
※ 12월 말까지 집행 완료</t>
        </is>
      </c>
      <c r="E43" s="65" t="n">
        <v>2000</v>
      </c>
      <c r="F43" s="65" t="n">
        <v>0</v>
      </c>
      <c r="G43" s="66" t="n">
        <v>2000</v>
      </c>
      <c r="H43" s="55">
        <f>IF(E43=0,"-",F43/E43)</f>
        <v/>
      </c>
      <c r="I43" s="55">
        <f>IF(E43=0,"-",(F43+G43)/E43)</f>
        <v/>
      </c>
    </row>
    <row r="44">
      <c r="B44" s="48" t="inlineStr">
        <is>
          <t>합계</t>
        </is>
      </c>
      <c r="C44" s="60" t="n"/>
      <c r="D44" s="61" t="n"/>
      <c r="E44" s="62">
        <f>SUM(E36:E43)</f>
        <v/>
      </c>
      <c r="F44" s="62">
        <f>SUM(F36:F43)</f>
        <v/>
      </c>
      <c r="G44" s="63">
        <f>SUM(G36:G43)</f>
        <v/>
      </c>
      <c r="H44" s="64">
        <f>F44/E44</f>
        <v/>
      </c>
      <c r="I44" s="64">
        <f>(F44+G44)/E44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1M8MRvl/cit5eeGC6gIpg==" formatRows="1" sort="1" spinCount="100000" hashValue="6BpndOOB/t3uGGVcNjIylFO72RCkRxL+eB+v0x2n7QlHmeeEZw16UAeG+n40h8Ztv+BgJ5Kem7+7ZEy/KihZXg=="/>
  <mergeCells count="10">
    <mergeCell ref="B36:B42"/>
    <mergeCell ref="B21:C21"/>
    <mergeCell ref="B10:B16"/>
    <mergeCell ref="B31:D31"/>
    <mergeCell ref="B34:C34"/>
    <mergeCell ref="B23:B29"/>
    <mergeCell ref="B18:D18"/>
    <mergeCell ref="B44:D44"/>
    <mergeCell ref="B3:H3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E5" sqref="E5"/>
    </sheetView>
  </sheetViews>
  <sheetFormatPr baseColWidth="8" defaultRowHeight="16.5"/>
  <cols>
    <col width="11.75" customWidth="1" style="50" min="2" max="2"/>
    <col width="15.875" bestFit="1" customWidth="1" style="50" min="3" max="3"/>
    <col width="15" customWidth="1" style="50" min="4" max="8"/>
  </cols>
  <sheetData>
    <row r="2" ht="24" customHeight="1" s="50">
      <c r="B2" s="2" t="inlineStr">
        <is>
          <t>연구비(현금) 집행계획 총괄표</t>
        </is>
      </c>
      <c r="F2" s="1" t="n"/>
      <c r="G2" s="1" t="n"/>
    </row>
    <row r="3">
      <c r="B3" s="40" t="inlineStr">
        <is>
          <t>해당 시트는 총괄표로 총예산만 기입</t>
        </is>
      </c>
    </row>
    <row r="4">
      <c r="B4" s="40" t="n"/>
      <c r="C4" s="40" t="n"/>
      <c r="D4" s="40" t="n"/>
      <c r="E4" s="40" t="n"/>
      <c r="F4" s="40" t="n"/>
      <c r="G4" s="40" t="n"/>
      <c r="H4" s="40" t="n"/>
      <c r="I4" s="40" t="n"/>
    </row>
    <row r="5" ht="17.1" customHeight="1" s="50">
      <c r="B5" s="17" t="inlineStr">
        <is>
          <t>총 예산(현금)</t>
        </is>
      </c>
      <c r="C5" s="70" t="inlineStr">
        <is>
          <t>입력 필요</t>
        </is>
      </c>
      <c r="D5" s="16" t="inlineStr">
        <is>
          <t>천원</t>
        </is>
      </c>
      <c r="E5" s="16" t="n"/>
      <c r="F5" s="16" t="n"/>
      <c r="G5" s="16" t="n"/>
      <c r="H5" s="16" t="n"/>
    </row>
    <row r="6" ht="17.1" customHeight="1" s="50">
      <c r="B6" s="17" t="inlineStr">
        <is>
          <t>미집행액</t>
        </is>
      </c>
      <c r="C6" s="71">
        <f>C5-E17-F17</f>
        <v/>
      </c>
      <c r="D6" s="16" t="inlineStr">
        <is>
          <t>천원</t>
        </is>
      </c>
      <c r="E6" s="16" t="n"/>
      <c r="F6" s="16" t="n"/>
      <c r="G6" s="16" t="n"/>
      <c r="H6" s="16" t="n"/>
    </row>
    <row r="7">
      <c r="F7" s="1" t="n"/>
      <c r="G7" s="1" t="n"/>
      <c r="H7" s="4" t="inlineStr">
        <is>
          <t>(단위 : 천원)</t>
        </is>
      </c>
    </row>
    <row r="8">
      <c r="B8" s="48" t="inlineStr">
        <is>
          <t>비목</t>
        </is>
      </c>
      <c r="C8" s="48" t="inlineStr">
        <is>
          <t>항목</t>
        </is>
      </c>
      <c r="D8" s="48" t="inlineStr">
        <is>
          <t>편성금액</t>
        </is>
      </c>
      <c r="E8" s="48" t="inlineStr">
        <is>
          <t>집행완료액</t>
        </is>
      </c>
      <c r="F8" s="48" t="inlineStr">
        <is>
          <t>사용예정액</t>
        </is>
      </c>
      <c r="G8" s="48" t="inlineStr">
        <is>
          <t>기집행률</t>
        </is>
      </c>
      <c r="H8" s="48" t="inlineStr">
        <is>
          <t>연말 집행예정</t>
        </is>
      </c>
    </row>
    <row r="9">
      <c r="B9" s="48" t="inlineStr">
        <is>
          <t>직접비</t>
        </is>
      </c>
      <c r="C9" s="48" t="inlineStr">
        <is>
          <t>연구활동비</t>
        </is>
      </c>
      <c r="D9" s="72">
        <f>SUM('기관별 집행계획'!E10,'기관별 집행계획'!E23,'기관별 집행계획'!E36)</f>
        <v/>
      </c>
      <c r="E9" s="72">
        <f>'기관별 집행계획'!F10+'기관별 집행계획'!F23+'기관별 집행계획'!F36</f>
        <v/>
      </c>
      <c r="F9" s="73">
        <f>SUM('기관별 집행계획'!G10,'기관별 집행계획'!G23,'기관별 집행계획'!G36)</f>
        <v/>
      </c>
      <c r="G9" s="74">
        <f>(E9+F9)/D9</f>
        <v/>
      </c>
      <c r="H9" s="74">
        <f>F9/D9</f>
        <v/>
      </c>
    </row>
    <row r="10">
      <c r="B10" s="56" t="n"/>
      <c r="C10" s="48" t="inlineStr">
        <is>
          <t>연구수당</t>
        </is>
      </c>
      <c r="D10" s="72">
        <f>SUM('기관별 집행계획'!E11,'기관별 집행계획'!E24,'기관별 집행계획'!E37)</f>
        <v/>
      </c>
      <c r="E10" s="72">
        <f>'기관별 집행계획'!F11+'기관별 집행계획'!F24+'기관별 집행계획'!F37</f>
        <v/>
      </c>
      <c r="F10" s="73">
        <f>SUM('기관별 집행계획'!G11,'기관별 집행계획'!G24,'기관별 집행계획'!G37)</f>
        <v/>
      </c>
      <c r="G10" s="74">
        <f>(E10+F10)/D10</f>
        <v/>
      </c>
      <c r="H10" s="74">
        <f>F10/D10</f>
        <v/>
      </c>
    </row>
    <row r="11">
      <c r="B11" s="56" t="n"/>
      <c r="C11" s="48" t="inlineStr">
        <is>
          <t>인건비</t>
        </is>
      </c>
      <c r="D11" s="72">
        <f>SUM('기관별 집행계획'!E12,'기관별 집행계획'!E25,'기관별 집행계획'!E38)</f>
        <v/>
      </c>
      <c r="E11" s="72">
        <f>'기관별 집행계획'!F12+'기관별 집행계획'!F25+'기관별 집행계획'!F38</f>
        <v/>
      </c>
      <c r="F11" s="73">
        <f>SUM('기관별 집행계획'!G12,'기관별 집행계획'!G25,'기관별 집행계획'!G38)</f>
        <v/>
      </c>
      <c r="G11" s="74">
        <f>(E11+F11)/D11</f>
        <v/>
      </c>
      <c r="H11" s="74">
        <f>F11/D11</f>
        <v/>
      </c>
    </row>
    <row r="12">
      <c r="B12" s="56" t="n"/>
      <c r="C12" s="48" t="inlineStr">
        <is>
          <t>학생인건비</t>
        </is>
      </c>
      <c r="D12" s="72">
        <f>SUM('기관별 집행계획'!E13,'기관별 집행계획'!E26,'기관별 집행계획'!E39)</f>
        <v/>
      </c>
      <c r="E12" s="72">
        <f>'기관별 집행계획'!F13+'기관별 집행계획'!F26+'기관별 집행계획'!F39</f>
        <v/>
      </c>
      <c r="F12" s="73">
        <f>SUM('기관별 집행계획'!G13,'기관별 집행계획'!G26,'기관별 집행계획'!G39)</f>
        <v/>
      </c>
      <c r="G12" s="74">
        <f>(E12+F12)/D12</f>
        <v/>
      </c>
      <c r="H12" s="74">
        <f>F12/D12</f>
        <v/>
      </c>
    </row>
    <row r="13">
      <c r="B13" s="56" t="n"/>
      <c r="C13" s="48" t="inlineStr">
        <is>
          <t>연구시설·장비비</t>
        </is>
      </c>
      <c r="D13" s="72">
        <f>SUM('기관별 집행계획'!E14,'기관별 집행계획'!E27,'기관별 집행계획'!E40)</f>
        <v/>
      </c>
      <c r="E13" s="72">
        <f>'기관별 집행계획'!F14+'기관별 집행계획'!F27+'기관별 집행계획'!F40</f>
        <v/>
      </c>
      <c r="F13" s="73">
        <f>SUM('기관별 집행계획'!G14,'기관별 집행계획'!G27,'기관별 집행계획'!G40)</f>
        <v/>
      </c>
      <c r="G13" s="74">
        <f>(E13+F13)/D13</f>
        <v/>
      </c>
      <c r="H13" s="74">
        <f>F13/D13</f>
        <v/>
      </c>
    </row>
    <row r="14">
      <c r="B14" s="56" t="n"/>
      <c r="C14" s="48" t="inlineStr">
        <is>
          <t>연구재료비</t>
        </is>
      </c>
      <c r="D14" s="72">
        <f>SUM('기관별 집행계획'!E15,'기관별 집행계획'!E28,'기관별 집행계획'!E41)</f>
        <v/>
      </c>
      <c r="E14" s="72">
        <f>'기관별 집행계획'!F15+'기관별 집행계획'!F28+'기관별 집행계획'!F41</f>
        <v/>
      </c>
      <c r="F14" s="73">
        <f>SUM('기관별 집행계획'!G15,'기관별 집행계획'!G28,'기관별 집행계획'!G41)</f>
        <v/>
      </c>
      <c r="G14" s="74">
        <f>(E14+F14)/D14</f>
        <v/>
      </c>
      <c r="H14" s="74">
        <f>F14/D14</f>
        <v/>
      </c>
    </row>
    <row r="15">
      <c r="B15" s="59" t="n"/>
      <c r="C15" s="48" t="inlineStr">
        <is>
          <t>연구개발부담비</t>
        </is>
      </c>
      <c r="D15" s="72">
        <f>SUM('기관별 집행계획'!E16,'기관별 집행계획'!E29,'기관별 집행계획'!E42)</f>
        <v/>
      </c>
      <c r="E15" s="72">
        <f>'기관별 집행계획'!F16+'기관별 집행계획'!F29+'기관별 집행계획'!F42</f>
        <v/>
      </c>
      <c r="F15" s="73">
        <f>SUM('기관별 집행계획'!G16,'기관별 집행계획'!G29,'기관별 집행계획'!G42)</f>
        <v/>
      </c>
      <c r="G15" s="74">
        <f>(E15+F15)/D15</f>
        <v/>
      </c>
      <c r="H15" s="74">
        <f>F15/D15</f>
        <v/>
      </c>
    </row>
    <row r="16">
      <c r="B16" s="48" t="inlineStr">
        <is>
          <t>간접비</t>
        </is>
      </c>
      <c r="C16" s="48" t="inlineStr">
        <is>
          <t>간접비</t>
        </is>
      </c>
      <c r="D16" s="72">
        <f>SUM('기관별 집행계획'!E17,'기관별 집행계획'!E30,'기관별 집행계획'!E43)</f>
        <v/>
      </c>
      <c r="E16" s="72">
        <f>'기관별 집행계획'!F17+'기관별 집행계획'!F30+'기관별 집행계획'!F43</f>
        <v/>
      </c>
      <c r="F16" s="73">
        <f>SUM('기관별 집행계획'!G17,'기관별 집행계획'!G30,'기관별 집행계획'!G43)</f>
        <v/>
      </c>
      <c r="G16" s="74">
        <f>(E16+F16)/D16</f>
        <v/>
      </c>
      <c r="H16" s="74">
        <f>F16/D16</f>
        <v/>
      </c>
    </row>
    <row r="17">
      <c r="B17" s="48" t="inlineStr">
        <is>
          <t>합계</t>
        </is>
      </c>
      <c r="C17" s="61" t="n"/>
      <c r="D17" s="75">
        <f>SUM(D9:D16)</f>
        <v/>
      </c>
      <c r="E17" s="75">
        <f>SUM(E9:E16)</f>
        <v/>
      </c>
      <c r="F17" s="76">
        <f>SUM(F9:F16)</f>
        <v/>
      </c>
      <c r="G17" s="55">
        <f>(E17+F17)/C5</f>
        <v/>
      </c>
      <c r="H17" s="55">
        <f>F17/D17</f>
        <v/>
      </c>
    </row>
    <row r="18">
      <c r="F18" s="1" t="n"/>
      <c r="G18" s="1" t="n"/>
    </row>
    <row r="19">
      <c r="F19" s="1" t="n"/>
      <c r="G19" s="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iwwcKHDq+sVoUtQ7A3ncA==" formatRows="1" sort="1" spinCount="100000" hashValue="BtaQvn95V2jtU+m1tBKPLWRo1Y0oQyaQma60qKkEdzKIMFCkaw4WQheMlyvdQnEmYsJUZKRwo/jqAyTFsNKA9Q=="/>
  <mergeCells count="3">
    <mergeCell ref="B9:B15"/>
    <mergeCell ref="B3:I3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KIAT</dc:creator>
  <dcterms:created xmlns:dcterms="http://purl.org/dc/terms/" xmlns:xsi="http://www.w3.org/2001/XMLSchema-instance" xsi:type="dcterms:W3CDTF">2026-10-15T09:18:35Z</dcterms:created>
  <dcterms:modified xmlns:dcterms="http://purl.org/dc/terms/" xmlns:xsi="http://www.w3.org/2001/XMLSchema-instance" xsi:type="dcterms:W3CDTF">2026-10-22T22:18:41Z</dcterms:modified>
  <cp:lastModifiedBy>투오 디</cp:lastModifiedBy>
</cp:coreProperties>
</file>