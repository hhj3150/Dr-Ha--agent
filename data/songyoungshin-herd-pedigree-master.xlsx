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체마스터_혈통매칭" sheetId="1" state="visible" r:id="rId1"/>
    <sheet name="협회_일괄조회_요청목록" sheetId="2" state="visible" r:id="rId2"/>
    <sheet name="혈통번호_확보절차" sheetId="3" state="visible" r:id="rId3"/>
  </sheets>
  <definedNames>
    <definedName name="_xlnm._FilterDatabase" localSheetId="0" hidden="1">'개체마스터_혈통매칭'!$A$5:$M$37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i val="1"/>
      <color rgb="00808080"/>
      <sz val="9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C00000"/>
      <sz val="9"/>
    </font>
    <font>
      <name val="Arial"/>
      <b val="1"/>
      <color rgb="001F4E5F"/>
      <sz val="11"/>
    </font>
    <font>
      <name val="Arial"/>
      <b val="1"/>
      <sz val="10"/>
    </font>
    <font>
      <name val="Arial"/>
      <b val="1"/>
      <color rgb="001F4E5F"/>
      <sz val="12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F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49" fontId="5" fillId="0" borderId="1" pivotButton="0" quotePrefix="0" xfId="0"/>
    <xf numFmtId="164" fontId="5" fillId="0" borderId="1" applyAlignment="1" pivotButton="0" quotePrefix="0" xfId="0">
      <alignment horizontal="center"/>
    </xf>
    <xf numFmtId="0" fontId="5" fillId="3" borderId="1" pivotButton="0" quotePrefix="0" xfId="0"/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49" fontId="5" fillId="4" borderId="1" pivotButton="0" quotePrefix="0" xfId="0"/>
    <xf numFmtId="164" fontId="5" fillId="4" borderId="1" applyAlignment="1" pivotButton="0" quotePrefix="0" xfId="0">
      <alignment horizontal="center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164" fontId="5" fillId="0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1" customWidth="1" min="3" max="3"/>
    <col width="9" customWidth="1" min="4" max="4"/>
    <col width="20" customWidth="1" min="5" max="5"/>
    <col width="18" customWidth="1" min="6" max="6"/>
    <col width="12" customWidth="1" min="7" max="7"/>
    <col width="6" customWidth="1" min="8" max="8"/>
    <col width="10" customWidth="1" min="9" max="9"/>
    <col width="26" customWidth="1" min="10" max="10"/>
    <col width="20" customWidth="1" min="11" max="11"/>
    <col width="16" customWidth="1" min="12" max="12"/>
    <col width="46" customWidth="1" min="13" max="13"/>
  </cols>
  <sheetData>
    <row r="1">
      <c r="A1" s="1" t="inlineStr">
        <is>
          <t>송영신목장 A2A2 저지 착유우 개체 마스터 — 이력제번호 ↔ 혈통번호 매칭 시트</t>
        </is>
      </c>
    </row>
    <row r="2">
      <c r="A2" s="2" t="inlineStr">
        <is>
          <t>기준일 2026-08-24 · 총 32두 · 노란색 K·L열은 입력칸입니다. [혈통번호_확보절차] 시트의 경로로 확보 후 기입하십시오.</t>
        </is>
      </c>
    </row>
    <row r="3">
      <c r="A3" s="3" t="inlineStr">
        <is>
          <t>※ 혈통번호는 공개 인터넷에서 개체단위 조회가 불가하여 공란으로 두었습니다(추정·생성 금지 항목).</t>
        </is>
      </c>
    </row>
    <row r="5" ht="32" customHeight="1">
      <c r="A5" s="4" t="inlineStr">
        <is>
          <t>순서</t>
        </is>
      </c>
      <c r="B5" s="4" t="inlineStr">
        <is>
          <t>명호</t>
        </is>
      </c>
      <c r="C5" s="4" t="inlineStr">
        <is>
          <t>개체명</t>
        </is>
      </c>
      <c r="D5" s="4" t="inlineStr">
        <is>
          <t>유전자형</t>
        </is>
      </c>
      <c r="E5" s="4" t="inlineStr">
        <is>
          <t>이력제번호(표준표기)</t>
        </is>
      </c>
      <c r="F5" s="4" t="inlineStr">
        <is>
          <t>이력제번호(12자리)</t>
        </is>
      </c>
      <c r="G5" s="4" t="inlineStr">
        <is>
          <t>생년월일</t>
        </is>
      </c>
      <c r="H5" s="4" t="inlineStr">
        <is>
          <t>산차</t>
        </is>
      </c>
      <c r="I5" s="4" t="inlineStr">
        <is>
          <t>현재상태</t>
        </is>
      </c>
      <c r="J5" s="4" t="inlineStr">
        <is>
          <t>최종 교배 정액(부계)</t>
        </is>
      </c>
      <c r="K5" s="4" t="inlineStr">
        <is>
          <t>혈통번호(등록번호)</t>
        </is>
      </c>
      <c r="L5" s="4" t="inlineStr">
        <is>
          <t>출처/확보일</t>
        </is>
      </c>
      <c r="M5" s="4" t="inlineStr">
        <is>
          <t>확인필요 사항</t>
        </is>
      </c>
    </row>
    <row r="6">
      <c r="A6" s="5" t="n">
        <v>1</v>
      </c>
      <c r="B6" s="5" t="n">
        <v>1</v>
      </c>
      <c r="C6" s="6" t="inlineStr">
        <is>
          <t>원해1</t>
        </is>
      </c>
      <c r="D6" s="5" t="inlineStr">
        <is>
          <t>A2A2</t>
        </is>
      </c>
      <c r="E6" s="6" t="inlineStr">
        <is>
          <t>002-1829-5409-0</t>
        </is>
      </c>
      <c r="F6" s="7" t="inlineStr">
        <is>
          <t>002182954090</t>
        </is>
      </c>
      <c r="G6" s="21" t="n">
        <v>44858</v>
      </c>
      <c r="H6" s="5" t="n">
        <v>1</v>
      </c>
      <c r="I6" s="6" t="inlineStr">
        <is>
          <t>임신</t>
        </is>
      </c>
      <c r="J6" s="6" t="inlineStr">
        <is>
          <t>2산 Coach(799JE92)</t>
        </is>
      </c>
      <c r="K6" s="9" t="n"/>
      <c r="L6" s="9" t="n"/>
      <c r="M6" s="10" t="inlineStr"/>
    </row>
    <row r="7">
      <c r="A7" s="5" t="n">
        <v>2</v>
      </c>
      <c r="B7" s="5" t="n">
        <v>2</v>
      </c>
      <c r="C7" s="6" t="inlineStr">
        <is>
          <t>경연2</t>
        </is>
      </c>
      <c r="D7" s="5" t="inlineStr">
        <is>
          <t>A2A2</t>
        </is>
      </c>
      <c r="E7" s="6" t="inlineStr">
        <is>
          <t>002-1771-6154-3</t>
        </is>
      </c>
      <c r="F7" s="7" t="inlineStr">
        <is>
          <t>002177161543</t>
        </is>
      </c>
      <c r="G7" s="21" t="n">
        <v>44737</v>
      </c>
      <c r="H7" s="5" t="n">
        <v>1</v>
      </c>
      <c r="I7" s="6" t="inlineStr">
        <is>
          <t>건유</t>
        </is>
      </c>
      <c r="J7" s="6" t="inlineStr">
        <is>
          <t>2산 Rockland(1JE7316)</t>
        </is>
      </c>
      <c r="K7" s="9" t="n"/>
      <c r="L7" s="9" t="n"/>
      <c r="M7" s="10" t="inlineStr"/>
    </row>
    <row r="8">
      <c r="A8" s="11" t="n">
        <v>3</v>
      </c>
      <c r="B8" s="11" t="n">
        <v>101</v>
      </c>
      <c r="C8" s="12" t="n"/>
      <c r="D8" s="11" t="inlineStr">
        <is>
          <t>A2A2</t>
        </is>
      </c>
      <c r="E8" s="12" t="inlineStr">
        <is>
          <t>002-1773-2357-7</t>
        </is>
      </c>
      <c r="F8" s="13" t="inlineStr">
        <is>
          <t>002177323577</t>
        </is>
      </c>
      <c r="G8" s="22" t="n"/>
      <c r="H8" s="11" t="n"/>
      <c r="I8" s="12" t="n"/>
      <c r="J8" s="12" t="n"/>
      <c r="K8" s="9" t="n"/>
      <c r="L8" s="9" t="n"/>
      <c r="M8" s="15" t="inlineStr">
        <is>
          <t>Sheet1 상세정보 없음(번식이력 미등재)</t>
        </is>
      </c>
    </row>
    <row r="9">
      <c r="A9" s="11" t="n">
        <v>4</v>
      </c>
      <c r="B9" s="11" t="n">
        <v>102</v>
      </c>
      <c r="C9" s="12" t="n"/>
      <c r="D9" s="11" t="inlineStr">
        <is>
          <t>A2A2</t>
        </is>
      </c>
      <c r="E9" s="12" t="inlineStr">
        <is>
          <t>002-1773-2351-0</t>
        </is>
      </c>
      <c r="F9" s="13" t="inlineStr">
        <is>
          <t>002177323510</t>
        </is>
      </c>
      <c r="G9" s="22" t="n"/>
      <c r="H9" s="11" t="n"/>
      <c r="I9" s="12" t="n"/>
      <c r="J9" s="12" t="n"/>
      <c r="K9" s="9" t="n"/>
      <c r="L9" s="9" t="n"/>
      <c r="M9" s="15" t="inlineStr">
        <is>
          <t>Sheet1 상세정보 없음(번식이력 미등재)</t>
        </is>
      </c>
    </row>
    <row r="10">
      <c r="A10" s="11" t="n">
        <v>5</v>
      </c>
      <c r="B10" s="11" t="n">
        <v>103</v>
      </c>
      <c r="C10" s="12" t="n"/>
      <c r="D10" s="11" t="inlineStr">
        <is>
          <t>A2A2</t>
        </is>
      </c>
      <c r="E10" s="12" t="inlineStr">
        <is>
          <t>002-1791-7065-9</t>
        </is>
      </c>
      <c r="F10" s="13" t="inlineStr">
        <is>
          <t>002179170659</t>
        </is>
      </c>
      <c r="G10" s="22" t="n"/>
      <c r="H10" s="11" t="n"/>
      <c r="I10" s="12" t="n"/>
      <c r="J10" s="12" t="n"/>
      <c r="K10" s="9" t="n"/>
      <c r="L10" s="9" t="n"/>
      <c r="M10" s="15" t="inlineStr">
        <is>
          <t>Sheet1 상세정보 없음(번식이력 미등재)</t>
        </is>
      </c>
    </row>
    <row r="11">
      <c r="A11" s="11" t="n">
        <v>6</v>
      </c>
      <c r="B11" s="11" t="n">
        <v>104</v>
      </c>
      <c r="C11" s="12" t="n"/>
      <c r="D11" s="11" t="inlineStr">
        <is>
          <t>A2A2</t>
        </is>
      </c>
      <c r="E11" s="12" t="inlineStr">
        <is>
          <t>002-1791-7067-5</t>
        </is>
      </c>
      <c r="F11" s="13" t="inlineStr">
        <is>
          <t>002179170675</t>
        </is>
      </c>
      <c r="G11" s="22" t="n"/>
      <c r="H11" s="11" t="n"/>
      <c r="I11" s="12" t="n"/>
      <c r="J11" s="12" t="n"/>
      <c r="K11" s="9" t="n"/>
      <c r="L11" s="9" t="n"/>
      <c r="M11" s="15" t="inlineStr">
        <is>
          <t>Sheet1 상세정보 없음(번식이력 미등재)</t>
        </is>
      </c>
    </row>
    <row r="12">
      <c r="A12" s="11" t="n">
        <v>7</v>
      </c>
      <c r="B12" s="11" t="n">
        <v>105</v>
      </c>
      <c r="C12" s="12" t="n"/>
      <c r="D12" s="11" t="inlineStr">
        <is>
          <t>A2A2</t>
        </is>
      </c>
      <c r="E12" s="12" t="inlineStr">
        <is>
          <t>002-1842-5458-5</t>
        </is>
      </c>
      <c r="F12" s="13" t="inlineStr">
        <is>
          <t>002184254585</t>
        </is>
      </c>
      <c r="G12" s="22" t="n"/>
      <c r="H12" s="11" t="n"/>
      <c r="I12" s="12" t="n"/>
      <c r="J12" s="12" t="n"/>
      <c r="K12" s="9" t="n"/>
      <c r="L12" s="9" t="n"/>
      <c r="M12" s="15" t="inlineStr">
        <is>
          <t>Sheet1 상세정보 없음(번식이력 미등재)</t>
        </is>
      </c>
    </row>
    <row r="13">
      <c r="A13" s="11" t="n">
        <v>8</v>
      </c>
      <c r="B13" s="11" t="n">
        <v>106</v>
      </c>
      <c r="C13" s="12" t="n"/>
      <c r="D13" s="11" t="inlineStr">
        <is>
          <t>A2A2</t>
        </is>
      </c>
      <c r="E13" s="12" t="inlineStr">
        <is>
          <t>002-1903-0729-4</t>
        </is>
      </c>
      <c r="F13" s="13" t="inlineStr">
        <is>
          <t>002190307294</t>
        </is>
      </c>
      <c r="G13" s="22" t="n"/>
      <c r="H13" s="11" t="n"/>
      <c r="I13" s="12" t="n"/>
      <c r="J13" s="12" t="n"/>
      <c r="K13" s="9" t="n"/>
      <c r="L13" s="9" t="n"/>
      <c r="M13" s="15" t="inlineStr">
        <is>
          <t>Sheet1 상세정보 없음(번식이력 미등재)</t>
        </is>
      </c>
    </row>
    <row r="14">
      <c r="A14" s="11" t="n">
        <v>9</v>
      </c>
      <c r="B14" s="11" t="n">
        <v>107</v>
      </c>
      <c r="C14" s="12" t="n"/>
      <c r="D14" s="11" t="inlineStr">
        <is>
          <t>A2A2</t>
        </is>
      </c>
      <c r="E14" s="12" t="inlineStr">
        <is>
          <t>002-1919-6498-7</t>
        </is>
      </c>
      <c r="F14" s="13" t="inlineStr">
        <is>
          <t>002191964987</t>
        </is>
      </c>
      <c r="G14" s="22" t="n"/>
      <c r="H14" s="11" t="n"/>
      <c r="I14" s="12" t="n"/>
      <c r="J14" s="12" t="n"/>
      <c r="K14" s="9" t="n"/>
      <c r="L14" s="9" t="n"/>
      <c r="M14" s="15" t="inlineStr">
        <is>
          <t>Sheet1 상세정보 없음(번식이력 미등재)</t>
        </is>
      </c>
    </row>
    <row r="15">
      <c r="A15" s="11" t="n">
        <v>10</v>
      </c>
      <c r="B15" s="11" t="n">
        <v>109</v>
      </c>
      <c r="C15" s="12" t="n"/>
      <c r="D15" s="11" t="inlineStr">
        <is>
          <t>A2A2</t>
        </is>
      </c>
      <c r="E15" s="12" t="inlineStr">
        <is>
          <t>002-1957-9355-8</t>
        </is>
      </c>
      <c r="F15" s="13" t="inlineStr">
        <is>
          <t>002195793558</t>
        </is>
      </c>
      <c r="G15" s="22" t="n"/>
      <c r="H15" s="11" t="n"/>
      <c r="I15" s="12" t="n"/>
      <c r="J15" s="12" t="n"/>
      <c r="K15" s="9" t="n"/>
      <c r="L15" s="9" t="n"/>
      <c r="M15" s="15" t="inlineStr">
        <is>
          <t>Sheet1 상세정보 없음(번식이력 미등재)</t>
        </is>
      </c>
    </row>
    <row r="16">
      <c r="A16" s="11" t="n">
        <v>11</v>
      </c>
      <c r="B16" s="11" t="n">
        <v>110</v>
      </c>
      <c r="C16" s="12" t="n"/>
      <c r="D16" s="11" t="inlineStr">
        <is>
          <t>A2A2</t>
        </is>
      </c>
      <c r="E16" s="12" t="inlineStr">
        <is>
          <t>002-1919-6496-2</t>
        </is>
      </c>
      <c r="F16" s="13" t="inlineStr">
        <is>
          <t>002191964962</t>
        </is>
      </c>
      <c r="G16" s="22" t="n"/>
      <c r="H16" s="11" t="n"/>
      <c r="I16" s="12" t="n"/>
      <c r="J16" s="12" t="n"/>
      <c r="K16" s="9" t="n"/>
      <c r="L16" s="9" t="n"/>
      <c r="M16" s="15" t="inlineStr">
        <is>
          <t>Sheet1 상세정보 없음(번식이력 미등재)</t>
        </is>
      </c>
    </row>
    <row r="17">
      <c r="A17" s="11" t="n">
        <v>12</v>
      </c>
      <c r="B17" s="11" t="n">
        <v>111</v>
      </c>
      <c r="C17" s="12" t="n"/>
      <c r="D17" s="11" t="inlineStr">
        <is>
          <t>A2A2</t>
        </is>
      </c>
      <c r="E17" s="12" t="inlineStr">
        <is>
          <t>002-1903-0712-2</t>
        </is>
      </c>
      <c r="F17" s="13" t="inlineStr">
        <is>
          <t>002190307122</t>
        </is>
      </c>
      <c r="G17" s="22" t="n"/>
      <c r="H17" s="11" t="n"/>
      <c r="I17" s="12" t="n"/>
      <c r="J17" s="12" t="n"/>
      <c r="K17" s="9" t="n"/>
      <c r="L17" s="9" t="n"/>
      <c r="M17" s="15" t="inlineStr">
        <is>
          <t>Sheet1 상세정보 없음(번식이력 미등재)</t>
        </is>
      </c>
    </row>
    <row r="18">
      <c r="A18" s="11" t="n">
        <v>13</v>
      </c>
      <c r="B18" s="11" t="n">
        <v>112</v>
      </c>
      <c r="C18" s="12" t="n"/>
      <c r="D18" s="11" t="inlineStr">
        <is>
          <t>A2A2</t>
        </is>
      </c>
      <c r="E18" s="12" t="inlineStr">
        <is>
          <t>002-1842-5446-4</t>
        </is>
      </c>
      <c r="F18" s="13" t="inlineStr">
        <is>
          <t>002184254464</t>
        </is>
      </c>
      <c r="G18" s="22" t="n"/>
      <c r="H18" s="11" t="n"/>
      <c r="I18" s="12" t="n"/>
      <c r="J18" s="12" t="n"/>
      <c r="K18" s="9" t="n"/>
      <c r="L18" s="9" t="n"/>
      <c r="M18" s="15" t="inlineStr">
        <is>
          <t>Sheet1 상세정보 없음(번식이력 미등재)</t>
        </is>
      </c>
    </row>
    <row r="19">
      <c r="A19" s="11" t="n">
        <v>14</v>
      </c>
      <c r="B19" s="11" t="n">
        <v>113</v>
      </c>
      <c r="C19" s="12" t="n"/>
      <c r="D19" s="11" t="inlineStr">
        <is>
          <t>A2A2</t>
        </is>
      </c>
      <c r="E19" s="12" t="inlineStr">
        <is>
          <t>002-1791-7078-0</t>
        </is>
      </c>
      <c r="F19" s="13" t="inlineStr">
        <is>
          <t>002179170780</t>
        </is>
      </c>
      <c r="G19" s="22" t="n"/>
      <c r="H19" s="11" t="n"/>
      <c r="I19" s="12" t="n"/>
      <c r="J19" s="12" t="n"/>
      <c r="K19" s="9" t="n"/>
      <c r="L19" s="9" t="n"/>
      <c r="M19" s="15" t="inlineStr">
        <is>
          <t>Sheet1 상세정보 없음(번식이력 미등재)</t>
        </is>
      </c>
    </row>
    <row r="20">
      <c r="A20" s="11" t="n">
        <v>15</v>
      </c>
      <c r="B20" s="11" t="n">
        <v>114</v>
      </c>
      <c r="C20" s="12" t="n"/>
      <c r="D20" s="11" t="inlineStr">
        <is>
          <t>A2A2</t>
        </is>
      </c>
      <c r="E20" s="12" t="inlineStr">
        <is>
          <t>002-1773-2345-6</t>
        </is>
      </c>
      <c r="F20" s="13" t="inlineStr">
        <is>
          <t>002177323456</t>
        </is>
      </c>
      <c r="G20" s="22" t="n"/>
      <c r="H20" s="11" t="n"/>
      <c r="I20" s="12" t="n"/>
      <c r="J20" s="12" t="n"/>
      <c r="K20" s="9" t="n"/>
      <c r="L20" s="9" t="n"/>
      <c r="M20" s="15" t="inlineStr">
        <is>
          <t>Sheet1 상세정보 없음(번식이력 미등재)</t>
        </is>
      </c>
    </row>
    <row r="21">
      <c r="A21" s="11" t="n">
        <v>16</v>
      </c>
      <c r="B21" s="11" t="n">
        <v>350</v>
      </c>
      <c r="C21" s="12" t="inlineStr">
        <is>
          <t>Smash</t>
        </is>
      </c>
      <c r="D21" s="11" t="inlineStr">
        <is>
          <t>A2A2</t>
        </is>
      </c>
      <c r="E21" s="12" t="inlineStr">
        <is>
          <t>002-1539-2238-4</t>
        </is>
      </c>
      <c r="F21" s="13" t="inlineStr">
        <is>
          <t>002153922384</t>
        </is>
      </c>
      <c r="G21" s="22" t="n">
        <v>44018</v>
      </c>
      <c r="H21" s="11" t="n">
        <v>3</v>
      </c>
      <c r="I21" s="12" t="inlineStr">
        <is>
          <t>00200030303</t>
        </is>
      </c>
      <c r="J21" s="12" t="inlineStr">
        <is>
          <t>3산 Celebro(1JE7439)</t>
        </is>
      </c>
      <c r="K21" s="9" t="n"/>
      <c r="L21" s="9" t="n"/>
      <c r="M21" s="15" t="inlineStr">
        <is>
          <t>현재상태 칸에 숫자 오입력('00200030303')</t>
        </is>
      </c>
    </row>
    <row r="22">
      <c r="A22" s="5" t="n">
        <v>17</v>
      </c>
      <c r="B22" s="5" t="n">
        <v>357</v>
      </c>
      <c r="C22" s="6" t="inlineStr">
        <is>
          <t>Jazz</t>
        </is>
      </c>
      <c r="D22" s="5" t="inlineStr">
        <is>
          <t>A2A2</t>
        </is>
      </c>
      <c r="E22" s="6" t="inlineStr">
        <is>
          <t>002-1539-3788-4</t>
        </is>
      </c>
      <c r="F22" s="7" t="inlineStr">
        <is>
          <t>002153937884</t>
        </is>
      </c>
      <c r="G22" s="21" t="n">
        <v>44050</v>
      </c>
      <c r="H22" s="5" t="n">
        <v>3</v>
      </c>
      <c r="I22" s="6" t="inlineStr">
        <is>
          <t>수정</t>
        </is>
      </c>
      <c r="J22" s="6" t="inlineStr">
        <is>
          <t>4산 Lafayette(1JE7509)</t>
        </is>
      </c>
      <c r="K22" s="9" t="n"/>
      <c r="L22" s="9" t="n"/>
      <c r="M22" s="10" t="inlineStr"/>
    </row>
    <row r="23">
      <c r="A23" s="5" t="n">
        <v>18</v>
      </c>
      <c r="B23" s="5" t="n">
        <v>400</v>
      </c>
      <c r="C23" s="6" t="inlineStr">
        <is>
          <t>Jiny</t>
        </is>
      </c>
      <c r="D23" s="5" t="inlineStr">
        <is>
          <t>A2A2</t>
        </is>
      </c>
      <c r="E23" s="6" t="inlineStr">
        <is>
          <t>002-1625-4180-5</t>
        </is>
      </c>
      <c r="F23" s="7" t="inlineStr">
        <is>
          <t>002162541805</t>
        </is>
      </c>
      <c r="G23" s="21" t="n">
        <v>44305</v>
      </c>
      <c r="H23" s="5" t="n">
        <v>2</v>
      </c>
      <c r="I23" s="6" t="inlineStr">
        <is>
          <t>수정</t>
        </is>
      </c>
      <c r="J23" s="6" t="inlineStr">
        <is>
          <t>3산 Rockland(1JE7316)</t>
        </is>
      </c>
      <c r="K23" s="9" t="n"/>
      <c r="L23" s="9" t="n"/>
      <c r="M23" s="10" t="inlineStr"/>
    </row>
    <row r="24">
      <c r="A24" s="5" t="n">
        <v>19</v>
      </c>
      <c r="B24" s="5" t="n">
        <v>414</v>
      </c>
      <c r="C24" s="6" t="inlineStr">
        <is>
          <t>Jessica</t>
        </is>
      </c>
      <c r="D24" s="5" t="inlineStr">
        <is>
          <t>A2A2</t>
        </is>
      </c>
      <c r="E24" s="6" t="inlineStr">
        <is>
          <t>002-1659-3323-4</t>
        </is>
      </c>
      <c r="F24" s="7" t="inlineStr">
        <is>
          <t>002165933234</t>
        </is>
      </c>
      <c r="G24" s="21" t="n">
        <v>44392</v>
      </c>
      <c r="H24" s="5" t="n">
        <v>2</v>
      </c>
      <c r="I24" s="6" t="inlineStr">
        <is>
          <t>수정</t>
        </is>
      </c>
      <c r="J24" s="6" t="inlineStr">
        <is>
          <t>3산 Coach(799JE92)</t>
        </is>
      </c>
      <c r="K24" s="9" t="n"/>
      <c r="L24" s="9" t="n"/>
      <c r="M24" s="10" t="inlineStr"/>
    </row>
    <row r="25">
      <c r="A25" s="5" t="n">
        <v>20</v>
      </c>
      <c r="B25" s="5" t="n">
        <v>423</v>
      </c>
      <c r="C25" s="6" t="inlineStr">
        <is>
          <t>Jangmi</t>
        </is>
      </c>
      <c r="D25" s="5" t="inlineStr">
        <is>
          <t>A2A2</t>
        </is>
      </c>
      <c r="E25" s="6" t="inlineStr">
        <is>
          <t>002-1664-7259-8</t>
        </is>
      </c>
      <c r="F25" s="7" t="inlineStr">
        <is>
          <t>002166472598</t>
        </is>
      </c>
      <c r="G25" s="21" t="n">
        <v>44435</v>
      </c>
      <c r="H25" s="5" t="n">
        <v>1</v>
      </c>
      <c r="I25" s="6" t="inlineStr">
        <is>
          <t>임신</t>
        </is>
      </c>
      <c r="J25" s="6" t="inlineStr">
        <is>
          <t>2산 Celebro(1JE7439)</t>
        </is>
      </c>
      <c r="K25" s="9" t="n"/>
      <c r="L25" s="9" t="n"/>
      <c r="M25" s="10" t="inlineStr"/>
    </row>
    <row r="26">
      <c r="A26" s="5" t="n">
        <v>21</v>
      </c>
      <c r="B26" s="5" t="n">
        <v>428</v>
      </c>
      <c r="C26" s="6" t="inlineStr">
        <is>
          <t>Java</t>
        </is>
      </c>
      <c r="D26" s="5" t="inlineStr">
        <is>
          <t>A2A2</t>
        </is>
      </c>
      <c r="E26" s="6" t="inlineStr">
        <is>
          <t>002-1681-2000-6</t>
        </is>
      </c>
      <c r="F26" s="7" t="inlineStr">
        <is>
          <t>002168120006</t>
        </is>
      </c>
      <c r="G26" s="21" t="n">
        <v>44441</v>
      </c>
      <c r="H26" s="5" t="n">
        <v>1</v>
      </c>
      <c r="I26" s="6" t="inlineStr">
        <is>
          <t>임신</t>
        </is>
      </c>
      <c r="J26" s="6" t="inlineStr">
        <is>
          <t>2산 Coach(799JE92)</t>
        </is>
      </c>
      <c r="K26" s="9" t="n"/>
      <c r="L26" s="9" t="n"/>
      <c r="M26" s="10" t="inlineStr"/>
    </row>
    <row r="27">
      <c r="A27" s="5" t="n">
        <v>22</v>
      </c>
      <c r="B27" s="5" t="n">
        <v>439</v>
      </c>
      <c r="C27" s="6" t="inlineStr">
        <is>
          <t>Jive</t>
        </is>
      </c>
      <c r="D27" s="5" t="inlineStr">
        <is>
          <t>A2A2</t>
        </is>
      </c>
      <c r="E27" s="6" t="inlineStr">
        <is>
          <t>002-1697-2801-2</t>
        </is>
      </c>
      <c r="F27" s="7" t="inlineStr">
        <is>
          <t>002169728012</t>
        </is>
      </c>
      <c r="G27" s="21" t="n">
        <v>44518</v>
      </c>
      <c r="H27" s="5" t="n">
        <v>2</v>
      </c>
      <c r="I27" s="6" t="inlineStr">
        <is>
          <t>수정</t>
        </is>
      </c>
      <c r="J27" s="6" t="inlineStr">
        <is>
          <t>3산 Ludwig(11JE7521)</t>
        </is>
      </c>
      <c r="K27" s="9" t="n"/>
      <c r="L27" s="9" t="n"/>
      <c r="M27" s="10" t="inlineStr"/>
    </row>
    <row r="28">
      <c r="A28" s="5" t="n">
        <v>23</v>
      </c>
      <c r="B28" s="5" t="n">
        <v>441</v>
      </c>
      <c r="C28" s="6" t="inlineStr">
        <is>
          <t>Jerom</t>
        </is>
      </c>
      <c r="D28" s="5" t="inlineStr">
        <is>
          <t>A2A2</t>
        </is>
      </c>
      <c r="E28" s="6" t="inlineStr">
        <is>
          <t>002-1697-2791-3</t>
        </is>
      </c>
      <c r="F28" s="7" t="inlineStr">
        <is>
          <t>002169727913</t>
        </is>
      </c>
      <c r="G28" s="21" t="n">
        <v>44520</v>
      </c>
      <c r="H28" s="5" t="n">
        <v>2</v>
      </c>
      <c r="I28" s="6" t="inlineStr">
        <is>
          <t>수정</t>
        </is>
      </c>
      <c r="J28" s="6" t="inlineStr">
        <is>
          <t>3산 Coach(799JE92)</t>
        </is>
      </c>
      <c r="K28" s="9" t="n"/>
      <c r="L28" s="9" t="n"/>
      <c r="M28" s="10" t="inlineStr"/>
    </row>
    <row r="29">
      <c r="A29" s="5" t="n">
        <v>24</v>
      </c>
      <c r="B29" s="5" t="n">
        <v>455</v>
      </c>
      <c r="C29" s="6" t="inlineStr">
        <is>
          <t>Joze</t>
        </is>
      </c>
      <c r="D29" s="5" t="inlineStr">
        <is>
          <t>A2A2</t>
        </is>
      </c>
      <c r="E29" s="6" t="inlineStr">
        <is>
          <t>002-1717-4081-4</t>
        </is>
      </c>
      <c r="F29" s="7" t="inlineStr">
        <is>
          <t>002171740814</t>
        </is>
      </c>
      <c r="G29" s="21" t="n">
        <v>44625</v>
      </c>
      <c r="H29" s="5" t="n">
        <v>1</v>
      </c>
      <c r="I29" s="6" t="inlineStr">
        <is>
          <t>건유</t>
        </is>
      </c>
      <c r="J29" s="6" t="inlineStr">
        <is>
          <t>2산 Celebro(1JE7439)</t>
        </is>
      </c>
      <c r="K29" s="9" t="n"/>
      <c r="L29" s="9" t="n"/>
      <c r="M29" s="10" t="inlineStr"/>
    </row>
    <row r="30">
      <c r="A30" s="5" t="n">
        <v>25</v>
      </c>
      <c r="B30" s="5" t="n">
        <v>476</v>
      </c>
      <c r="C30" s="6" t="inlineStr">
        <is>
          <t>준희</t>
        </is>
      </c>
      <c r="D30" s="5" t="inlineStr">
        <is>
          <t>A2A2</t>
        </is>
      </c>
      <c r="E30" s="6" t="inlineStr">
        <is>
          <t>002-1806-0650-8</t>
        </is>
      </c>
      <c r="F30" s="7" t="inlineStr">
        <is>
          <t>002180606508</t>
        </is>
      </c>
      <c r="G30" s="21" t="n">
        <v>44799</v>
      </c>
      <c r="H30" s="5" t="n">
        <v>1</v>
      </c>
      <c r="I30" s="6" t="inlineStr">
        <is>
          <t>수정</t>
        </is>
      </c>
      <c r="J30" s="6" t="inlineStr">
        <is>
          <t>2산 Ludwig(11JE7521)</t>
        </is>
      </c>
      <c r="K30" s="9" t="n"/>
      <c r="L30" s="9" t="n"/>
      <c r="M30" s="10" t="inlineStr"/>
    </row>
    <row r="31">
      <c r="A31" s="5" t="n">
        <v>26</v>
      </c>
      <c r="B31" s="5" t="n">
        <v>485</v>
      </c>
      <c r="C31" s="6" t="inlineStr">
        <is>
          <t>Jaru</t>
        </is>
      </c>
      <c r="D31" s="5" t="inlineStr">
        <is>
          <t>A2A2</t>
        </is>
      </c>
      <c r="E31" s="6" t="inlineStr">
        <is>
          <t>002-1799-7697-6</t>
        </is>
      </c>
      <c r="F31" s="7" t="inlineStr">
        <is>
          <t>002179976976</t>
        </is>
      </c>
      <c r="G31" s="21" t="n">
        <v>44799</v>
      </c>
      <c r="H31" s="5" t="n">
        <v>2</v>
      </c>
      <c r="I31" s="6" t="inlineStr">
        <is>
          <t>수정</t>
        </is>
      </c>
      <c r="J31" s="6" t="inlineStr">
        <is>
          <t>3산 Cartwright(1JE7685)</t>
        </is>
      </c>
      <c r="K31" s="9" t="n"/>
      <c r="L31" s="9" t="n"/>
      <c r="M31" s="10" t="inlineStr"/>
    </row>
    <row r="32">
      <c r="A32" s="5" t="n">
        <v>27</v>
      </c>
      <c r="B32" s="5" t="n">
        <v>490</v>
      </c>
      <c r="C32" s="6" t="inlineStr">
        <is>
          <t>Jamong</t>
        </is>
      </c>
      <c r="D32" s="5" t="inlineStr">
        <is>
          <t>A2A2</t>
        </is>
      </c>
      <c r="E32" s="6" t="inlineStr">
        <is>
          <t>002-1799-7868-5</t>
        </is>
      </c>
      <c r="F32" s="7" t="inlineStr">
        <is>
          <t>002179978685</t>
        </is>
      </c>
      <c r="G32" s="21" t="n">
        <v>44816</v>
      </c>
      <c r="H32" s="5" t="n">
        <v>1</v>
      </c>
      <c r="I32" s="6" t="inlineStr">
        <is>
          <t>건유</t>
        </is>
      </c>
      <c r="J32" s="6" t="inlineStr">
        <is>
          <t>2산 Rockland(1JE7316)</t>
        </is>
      </c>
      <c r="K32" s="9" t="n"/>
      <c r="L32" s="9" t="n"/>
      <c r="M32" s="10" t="inlineStr"/>
    </row>
    <row r="33">
      <c r="A33" s="5" t="n">
        <v>28</v>
      </c>
      <c r="B33" s="5" t="n">
        <v>494</v>
      </c>
      <c r="C33" s="6" t="inlineStr">
        <is>
          <t>Jinhee</t>
        </is>
      </c>
      <c r="D33" s="5" t="inlineStr">
        <is>
          <t>A2A2</t>
        </is>
      </c>
      <c r="E33" s="6" t="inlineStr">
        <is>
          <t>002-1799-8378-7</t>
        </is>
      </c>
      <c r="F33" s="7" t="inlineStr">
        <is>
          <t>002179983787</t>
        </is>
      </c>
      <c r="G33" s="21" t="n">
        <v>44829</v>
      </c>
      <c r="H33" s="5" t="n">
        <v>1</v>
      </c>
      <c r="I33" s="6" t="inlineStr">
        <is>
          <t>수정</t>
        </is>
      </c>
      <c r="J33" s="6" t="inlineStr">
        <is>
          <t>2산 Malachi(11JE7525)</t>
        </is>
      </c>
      <c r="K33" s="9" t="n"/>
      <c r="L33" s="9" t="n"/>
      <c r="M33" s="10" t="inlineStr"/>
    </row>
    <row r="34">
      <c r="A34" s="11" t="n">
        <v>29</v>
      </c>
      <c r="B34" s="11" t="n">
        <v>529</v>
      </c>
      <c r="C34" s="12" t="inlineStr">
        <is>
          <t>Razan</t>
        </is>
      </c>
      <c r="D34" s="11" t="inlineStr">
        <is>
          <t>A2A2</t>
        </is>
      </c>
      <c r="E34" s="12" t="inlineStr">
        <is>
          <t>002-1875-9263-9</t>
        </is>
      </c>
      <c r="F34" s="13" t="inlineStr">
        <is>
          <t>002187592639</t>
        </is>
      </c>
      <c r="G34" s="22" t="n">
        <v>45083</v>
      </c>
      <c r="H34" s="11" t="n">
        <v>1</v>
      </c>
      <c r="I34" s="12" t="inlineStr">
        <is>
          <t>건유</t>
        </is>
      </c>
      <c r="J34" s="12" t="inlineStr">
        <is>
          <t>2산 Rockland(1JE7316)</t>
        </is>
      </c>
      <c r="K34" s="9" t="n"/>
      <c r="L34" s="9" t="n"/>
      <c r="M34" s="15" t="inlineStr">
        <is>
          <t>부계에 홀스타인 정액 사용(551HO4119) — 저지 순종/A2 계통 확인 필요</t>
        </is>
      </c>
    </row>
    <row r="35">
      <c r="A35" s="5" t="n">
        <v>30</v>
      </c>
      <c r="B35" s="5" t="n">
        <v>564</v>
      </c>
      <c r="C35" s="6" t="inlineStr">
        <is>
          <t>Smashing</t>
        </is>
      </c>
      <c r="D35" s="5" t="inlineStr">
        <is>
          <t>A2A2</t>
        </is>
      </c>
      <c r="E35" s="6" t="inlineStr">
        <is>
          <t>002-1996-6433-8</t>
        </is>
      </c>
      <c r="F35" s="7" t="inlineStr">
        <is>
          <t>002199664338</t>
        </is>
      </c>
      <c r="G35" s="21" t="n">
        <v>45395</v>
      </c>
      <c r="H35" s="5" t="n"/>
      <c r="I35" s="6" t="inlineStr">
        <is>
          <t>임신</t>
        </is>
      </c>
      <c r="J35" s="6" t="inlineStr">
        <is>
          <t>1산 Rockland(1JE7316)</t>
        </is>
      </c>
      <c r="K35" s="9" t="n"/>
      <c r="L35" s="9" t="n"/>
      <c r="M35" s="10" t="inlineStr"/>
    </row>
    <row r="36">
      <c r="A36" s="11" t="n">
        <v>31</v>
      </c>
      <c r="B36" s="11" t="n">
        <v>565</v>
      </c>
      <c r="C36" s="12" t="inlineStr">
        <is>
          <t>Jami</t>
        </is>
      </c>
      <c r="D36" s="11" t="inlineStr">
        <is>
          <t>A2A2</t>
        </is>
      </c>
      <c r="E36" s="12" t="inlineStr">
        <is>
          <t>002-1753-4218-4</t>
        </is>
      </c>
      <c r="F36" s="13" t="inlineStr">
        <is>
          <t>002175342184</t>
        </is>
      </c>
      <c r="G36" s="22" t="n">
        <v>45411</v>
      </c>
      <c r="H36" s="11" t="n"/>
      <c r="I36" s="12" t="inlineStr">
        <is>
          <t>임신</t>
        </is>
      </c>
      <c r="J36" s="12" t="inlineStr">
        <is>
          <t>1산 Rockland(1JE7316)</t>
        </is>
      </c>
      <c r="K36" s="9" t="n"/>
      <c r="L36" s="9" t="n"/>
      <c r="M36" s="15" t="inlineStr">
        <is>
          <t>이력번호 대역(1753)과 생년월일 불일치 — 목장 내 귀표 발급순서상 예상 출생 2022-05이나 등재 생년월일은 2024-04 (약 2.0년 차이). 이력번호 또는 생년월일 오기 의심 — 혈통 조회 전 필수 확인</t>
        </is>
      </c>
    </row>
    <row r="37">
      <c r="A37" s="11" t="n">
        <v>32</v>
      </c>
      <c r="B37" s="11" t="n">
        <v>566</v>
      </c>
      <c r="C37" s="12" t="inlineStr">
        <is>
          <t>Ruan</t>
        </is>
      </c>
      <c r="D37" s="11" t="inlineStr">
        <is>
          <t>A2A2</t>
        </is>
      </c>
      <c r="E37" s="12" t="inlineStr">
        <is>
          <t>002-1753-4219-2</t>
        </is>
      </c>
      <c r="F37" s="13" t="inlineStr">
        <is>
          <t>002175342192</t>
        </is>
      </c>
      <c r="G37" s="22" t="n">
        <v>45419</v>
      </c>
      <c r="H37" s="11" t="n"/>
      <c r="I37" s="12" t="inlineStr">
        <is>
          <t>임신</t>
        </is>
      </c>
      <c r="J37" s="12" t="inlineStr">
        <is>
          <t>1산 Chief(777JE10034)</t>
        </is>
      </c>
      <c r="K37" s="9" t="n"/>
      <c r="L37" s="9" t="n"/>
      <c r="M37" s="15" t="inlineStr">
        <is>
          <t>이력번호 대역(1753)과 생년월일 불일치 — 목장 내 귀표 발급순서상 예상 출생 2022-05이나 등재 생년월일은 2024-05 (약 2.0년 차이). 이력번호 또는 생년월일 오기 의심 — 혈통 조회 전 필수 확인</t>
        </is>
      </c>
    </row>
    <row r="39">
      <c r="A39" s="16" t="inlineStr">
        <is>
          <t>요약</t>
        </is>
      </c>
    </row>
    <row r="40">
      <c r="A40" s="17" t="inlineStr">
        <is>
          <t>총 두수</t>
        </is>
      </c>
      <c r="C40" s="5">
        <f>COUNTA(B6:B37)</f>
        <v/>
      </c>
    </row>
    <row r="41">
      <c r="A41" s="17" t="inlineStr">
        <is>
          <t>A2A2 두수</t>
        </is>
      </c>
      <c r="C41" s="5">
        <f>COUNTIF(D6:D37,"A2A2")</f>
        <v/>
      </c>
    </row>
    <row r="42">
      <c r="A42" s="17" t="inlineStr">
        <is>
          <t>이력번호 확보</t>
        </is>
      </c>
      <c r="C42" s="5">
        <f>COUNTA(E6:E37)</f>
        <v/>
      </c>
    </row>
    <row r="43">
      <c r="A43" s="17" t="inlineStr">
        <is>
          <t>혈통번호 확보</t>
        </is>
      </c>
      <c r="C43" s="5">
        <f>COUNTA(K6:K37)</f>
        <v/>
      </c>
    </row>
    <row r="44">
      <c r="A44" s="17" t="inlineStr">
        <is>
          <t>혈통번호 미확보</t>
        </is>
      </c>
      <c r="C44" s="5">
        <f>COUNTA(B6:B37)-COUNTA(K6:K37)</f>
        <v/>
      </c>
    </row>
    <row r="45">
      <c r="A45" s="17" t="inlineStr">
        <is>
          <t>경산우(분만경험) 두수</t>
        </is>
      </c>
      <c r="C45" s="5">
        <f>COUNT(H6:H37)</f>
        <v/>
      </c>
    </row>
    <row r="46">
      <c r="A46" s="17" t="inlineStr">
        <is>
          <t>확인필요 건수</t>
        </is>
      </c>
      <c r="C46" s="5">
        <f>COUNTIF(M6:M37,"?*")</f>
        <v/>
      </c>
    </row>
    <row r="48">
      <c r="A48" s="2" t="inlineStr">
        <is>
          <t>※ 요약 수치는 Excel/Google Sheets에서 파일을 여는 순간 계산됩니다(수식 셀).</t>
        </is>
      </c>
    </row>
  </sheetData>
  <autoFilter ref="A5:M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20" customWidth="1" min="4" max="4"/>
    <col width="13" customWidth="1" min="5" max="5"/>
    <col width="9" customWidth="1" min="6" max="6"/>
    <col width="20" customWidth="1" min="7" max="7"/>
    <col width="14" customWidth="1" min="8" max="8"/>
    <col width="18" customWidth="1" min="9" max="9"/>
    <col width="18" customWidth="1" min="10" max="10"/>
  </cols>
  <sheetData>
    <row r="1">
      <c r="A1" s="18" t="inlineStr">
        <is>
          <t>한국종축개량협회 젖소개량부 / 낙농개량사업소(DCIC) 제출용 — 혈통번호 일괄조회 요청목록</t>
        </is>
      </c>
    </row>
    <row r="2">
      <c r="A2" s="19" t="inlineStr">
        <is>
          <t>농장명: 송영신목장    /    농장등록번호: [                    ]    /    요청일: 2026-08-24    /    요청 두수: 32두</t>
        </is>
      </c>
    </row>
    <row r="3">
      <c r="A3" s="2" t="inlineStr">
        <is>
          <t>아래 개체식별번호에 대한 혈통등록번호(또는 등록구분: 혈통/기초/고등)를 회신 요청드립니다.</t>
        </is>
      </c>
    </row>
    <row r="5" ht="28" customHeight="1">
      <c r="A5" s="4" t="inlineStr">
        <is>
          <t>연번</t>
        </is>
      </c>
      <c r="B5" s="4" t="inlineStr">
        <is>
          <t>명호</t>
        </is>
      </c>
      <c r="C5" s="4" t="inlineStr">
        <is>
          <t>개체명</t>
        </is>
      </c>
      <c r="D5" s="4" t="inlineStr">
        <is>
          <t>개체식별번호</t>
        </is>
      </c>
      <c r="E5" s="4" t="inlineStr">
        <is>
          <t>생년월일</t>
        </is>
      </c>
      <c r="F5" s="4" t="inlineStr">
        <is>
          <t>품종</t>
        </is>
      </c>
      <c r="G5" s="4" t="inlineStr">
        <is>
          <t>회신: 혈통번호</t>
        </is>
      </c>
      <c r="H5" s="4" t="inlineStr">
        <is>
          <t>회신: 등록구분</t>
        </is>
      </c>
      <c r="I5" s="4" t="inlineStr">
        <is>
          <t>회신: 부(父)</t>
        </is>
      </c>
      <c r="J5" s="4" t="inlineStr">
        <is>
          <t>회신: 모(母)</t>
        </is>
      </c>
    </row>
    <row r="6">
      <c r="A6" s="5" t="n">
        <v>1</v>
      </c>
      <c r="B6" s="5" t="n">
        <v>1</v>
      </c>
      <c r="C6" s="6" t="inlineStr">
        <is>
          <t>원해1</t>
        </is>
      </c>
      <c r="D6" s="6" t="inlineStr">
        <is>
          <t>002-1829-5409-0</t>
        </is>
      </c>
      <c r="E6" s="21" t="n">
        <v>44858</v>
      </c>
      <c r="F6" s="5" t="inlineStr">
        <is>
          <t>저지(Jersey)</t>
        </is>
      </c>
      <c r="G6" s="9" t="n"/>
      <c r="H6" s="9" t="n"/>
      <c r="I6" s="9" t="n"/>
      <c r="J6" s="9" t="n"/>
    </row>
    <row r="7">
      <c r="A7" s="5" t="n">
        <v>2</v>
      </c>
      <c r="B7" s="5" t="n">
        <v>2</v>
      </c>
      <c r="C7" s="6" t="inlineStr">
        <is>
          <t>경연2</t>
        </is>
      </c>
      <c r="D7" s="6" t="inlineStr">
        <is>
          <t>002-1771-6154-3</t>
        </is>
      </c>
      <c r="E7" s="21" t="n">
        <v>44737</v>
      </c>
      <c r="F7" s="5" t="inlineStr">
        <is>
          <t>저지(Jersey)</t>
        </is>
      </c>
      <c r="G7" s="9" t="n"/>
      <c r="H7" s="9" t="n"/>
      <c r="I7" s="9" t="n"/>
      <c r="J7" s="9" t="n"/>
    </row>
    <row r="8">
      <c r="A8" s="5" t="n">
        <v>3</v>
      </c>
      <c r="B8" s="5" t="n">
        <v>101</v>
      </c>
      <c r="C8" s="6" t="n"/>
      <c r="D8" s="6" t="inlineStr">
        <is>
          <t>002-1773-2357-7</t>
        </is>
      </c>
      <c r="E8" s="21" t="n"/>
      <c r="F8" s="5" t="inlineStr">
        <is>
          <t>저지(Jersey)</t>
        </is>
      </c>
      <c r="G8" s="9" t="n"/>
      <c r="H8" s="9" t="n"/>
      <c r="I8" s="9" t="n"/>
      <c r="J8" s="9" t="n"/>
    </row>
    <row r="9">
      <c r="A9" s="5" t="n">
        <v>4</v>
      </c>
      <c r="B9" s="5" t="n">
        <v>102</v>
      </c>
      <c r="C9" s="6" t="n"/>
      <c r="D9" s="6" t="inlineStr">
        <is>
          <t>002-1773-2351-0</t>
        </is>
      </c>
      <c r="E9" s="21" t="n"/>
      <c r="F9" s="5" t="inlineStr">
        <is>
          <t>저지(Jersey)</t>
        </is>
      </c>
      <c r="G9" s="9" t="n"/>
      <c r="H9" s="9" t="n"/>
      <c r="I9" s="9" t="n"/>
      <c r="J9" s="9" t="n"/>
    </row>
    <row r="10">
      <c r="A10" s="5" t="n">
        <v>5</v>
      </c>
      <c r="B10" s="5" t="n">
        <v>103</v>
      </c>
      <c r="C10" s="6" t="n"/>
      <c r="D10" s="6" t="inlineStr">
        <is>
          <t>002-1791-7065-9</t>
        </is>
      </c>
      <c r="E10" s="21" t="n"/>
      <c r="F10" s="5" t="inlineStr">
        <is>
          <t>저지(Jersey)</t>
        </is>
      </c>
      <c r="G10" s="9" t="n"/>
      <c r="H10" s="9" t="n"/>
      <c r="I10" s="9" t="n"/>
      <c r="J10" s="9" t="n"/>
    </row>
    <row r="11">
      <c r="A11" s="5" t="n">
        <v>6</v>
      </c>
      <c r="B11" s="5" t="n">
        <v>104</v>
      </c>
      <c r="C11" s="6" t="n"/>
      <c r="D11" s="6" t="inlineStr">
        <is>
          <t>002-1791-7067-5</t>
        </is>
      </c>
      <c r="E11" s="21" t="n"/>
      <c r="F11" s="5" t="inlineStr">
        <is>
          <t>저지(Jersey)</t>
        </is>
      </c>
      <c r="G11" s="9" t="n"/>
      <c r="H11" s="9" t="n"/>
      <c r="I11" s="9" t="n"/>
      <c r="J11" s="9" t="n"/>
    </row>
    <row r="12">
      <c r="A12" s="5" t="n">
        <v>7</v>
      </c>
      <c r="B12" s="5" t="n">
        <v>105</v>
      </c>
      <c r="C12" s="6" t="n"/>
      <c r="D12" s="6" t="inlineStr">
        <is>
          <t>002-1842-5458-5</t>
        </is>
      </c>
      <c r="E12" s="21" t="n"/>
      <c r="F12" s="5" t="inlineStr">
        <is>
          <t>저지(Jersey)</t>
        </is>
      </c>
      <c r="G12" s="9" t="n"/>
      <c r="H12" s="9" t="n"/>
      <c r="I12" s="9" t="n"/>
      <c r="J12" s="9" t="n"/>
    </row>
    <row r="13">
      <c r="A13" s="5" t="n">
        <v>8</v>
      </c>
      <c r="B13" s="5" t="n">
        <v>106</v>
      </c>
      <c r="C13" s="6" t="n"/>
      <c r="D13" s="6" t="inlineStr">
        <is>
          <t>002-1903-0729-4</t>
        </is>
      </c>
      <c r="E13" s="21" t="n"/>
      <c r="F13" s="5" t="inlineStr">
        <is>
          <t>저지(Jersey)</t>
        </is>
      </c>
      <c r="G13" s="9" t="n"/>
      <c r="H13" s="9" t="n"/>
      <c r="I13" s="9" t="n"/>
      <c r="J13" s="9" t="n"/>
    </row>
    <row r="14">
      <c r="A14" s="5" t="n">
        <v>9</v>
      </c>
      <c r="B14" s="5" t="n">
        <v>107</v>
      </c>
      <c r="C14" s="6" t="n"/>
      <c r="D14" s="6" t="inlineStr">
        <is>
          <t>002-1919-6498-7</t>
        </is>
      </c>
      <c r="E14" s="21" t="n"/>
      <c r="F14" s="5" t="inlineStr">
        <is>
          <t>저지(Jersey)</t>
        </is>
      </c>
      <c r="G14" s="9" t="n"/>
      <c r="H14" s="9" t="n"/>
      <c r="I14" s="9" t="n"/>
      <c r="J14" s="9" t="n"/>
    </row>
    <row r="15">
      <c r="A15" s="5" t="n">
        <v>10</v>
      </c>
      <c r="B15" s="5" t="n">
        <v>109</v>
      </c>
      <c r="C15" s="6" t="n"/>
      <c r="D15" s="6" t="inlineStr">
        <is>
          <t>002-1957-9355-8</t>
        </is>
      </c>
      <c r="E15" s="21" t="n"/>
      <c r="F15" s="5" t="inlineStr">
        <is>
          <t>저지(Jersey)</t>
        </is>
      </c>
      <c r="G15" s="9" t="n"/>
      <c r="H15" s="9" t="n"/>
      <c r="I15" s="9" t="n"/>
      <c r="J15" s="9" t="n"/>
    </row>
    <row r="16">
      <c r="A16" s="5" t="n">
        <v>11</v>
      </c>
      <c r="B16" s="5" t="n">
        <v>110</v>
      </c>
      <c r="C16" s="6" t="n"/>
      <c r="D16" s="6" t="inlineStr">
        <is>
          <t>002-1919-6496-2</t>
        </is>
      </c>
      <c r="E16" s="21" t="n"/>
      <c r="F16" s="5" t="inlineStr">
        <is>
          <t>저지(Jersey)</t>
        </is>
      </c>
      <c r="G16" s="9" t="n"/>
      <c r="H16" s="9" t="n"/>
      <c r="I16" s="9" t="n"/>
      <c r="J16" s="9" t="n"/>
    </row>
    <row r="17">
      <c r="A17" s="5" t="n">
        <v>12</v>
      </c>
      <c r="B17" s="5" t="n">
        <v>111</v>
      </c>
      <c r="C17" s="6" t="n"/>
      <c r="D17" s="6" t="inlineStr">
        <is>
          <t>002-1903-0712-2</t>
        </is>
      </c>
      <c r="E17" s="21" t="n"/>
      <c r="F17" s="5" t="inlineStr">
        <is>
          <t>저지(Jersey)</t>
        </is>
      </c>
      <c r="G17" s="9" t="n"/>
      <c r="H17" s="9" t="n"/>
      <c r="I17" s="9" t="n"/>
      <c r="J17" s="9" t="n"/>
    </row>
    <row r="18">
      <c r="A18" s="5" t="n">
        <v>13</v>
      </c>
      <c r="B18" s="5" t="n">
        <v>112</v>
      </c>
      <c r="C18" s="6" t="n"/>
      <c r="D18" s="6" t="inlineStr">
        <is>
          <t>002-1842-5446-4</t>
        </is>
      </c>
      <c r="E18" s="21" t="n"/>
      <c r="F18" s="5" t="inlineStr">
        <is>
          <t>저지(Jersey)</t>
        </is>
      </c>
      <c r="G18" s="9" t="n"/>
      <c r="H18" s="9" t="n"/>
      <c r="I18" s="9" t="n"/>
      <c r="J18" s="9" t="n"/>
    </row>
    <row r="19">
      <c r="A19" s="5" t="n">
        <v>14</v>
      </c>
      <c r="B19" s="5" t="n">
        <v>113</v>
      </c>
      <c r="C19" s="6" t="n"/>
      <c r="D19" s="6" t="inlineStr">
        <is>
          <t>002-1791-7078-0</t>
        </is>
      </c>
      <c r="E19" s="21" t="n"/>
      <c r="F19" s="5" t="inlineStr">
        <is>
          <t>저지(Jersey)</t>
        </is>
      </c>
      <c r="G19" s="9" t="n"/>
      <c r="H19" s="9" t="n"/>
      <c r="I19" s="9" t="n"/>
      <c r="J19" s="9" t="n"/>
    </row>
    <row r="20">
      <c r="A20" s="5" t="n">
        <v>15</v>
      </c>
      <c r="B20" s="5" t="n">
        <v>114</v>
      </c>
      <c r="C20" s="6" t="n"/>
      <c r="D20" s="6" t="inlineStr">
        <is>
          <t>002-1773-2345-6</t>
        </is>
      </c>
      <c r="E20" s="21" t="n"/>
      <c r="F20" s="5" t="inlineStr">
        <is>
          <t>저지(Jersey)</t>
        </is>
      </c>
      <c r="G20" s="9" t="n"/>
      <c r="H20" s="9" t="n"/>
      <c r="I20" s="9" t="n"/>
      <c r="J20" s="9" t="n"/>
    </row>
    <row r="21">
      <c r="A21" s="5" t="n">
        <v>16</v>
      </c>
      <c r="B21" s="5" t="n">
        <v>350</v>
      </c>
      <c r="C21" s="6" t="inlineStr">
        <is>
          <t>Smash</t>
        </is>
      </c>
      <c r="D21" s="6" t="inlineStr">
        <is>
          <t>002-1539-2238-4</t>
        </is>
      </c>
      <c r="E21" s="21" t="n">
        <v>44018</v>
      </c>
      <c r="F21" s="5" t="inlineStr">
        <is>
          <t>저지(Jersey)</t>
        </is>
      </c>
      <c r="G21" s="9" t="n"/>
      <c r="H21" s="9" t="n"/>
      <c r="I21" s="9" t="n"/>
      <c r="J21" s="9" t="n"/>
    </row>
    <row r="22">
      <c r="A22" s="5" t="n">
        <v>17</v>
      </c>
      <c r="B22" s="5" t="n">
        <v>357</v>
      </c>
      <c r="C22" s="6" t="inlineStr">
        <is>
          <t>Jazz</t>
        </is>
      </c>
      <c r="D22" s="6" t="inlineStr">
        <is>
          <t>002-1539-3788-4</t>
        </is>
      </c>
      <c r="E22" s="21" t="n">
        <v>44050</v>
      </c>
      <c r="F22" s="5" t="inlineStr">
        <is>
          <t>저지(Jersey)</t>
        </is>
      </c>
      <c r="G22" s="9" t="n"/>
      <c r="H22" s="9" t="n"/>
      <c r="I22" s="9" t="n"/>
      <c r="J22" s="9" t="n"/>
    </row>
    <row r="23">
      <c r="A23" s="5" t="n">
        <v>18</v>
      </c>
      <c r="B23" s="5" t="n">
        <v>400</v>
      </c>
      <c r="C23" s="6" t="inlineStr">
        <is>
          <t>Jiny</t>
        </is>
      </c>
      <c r="D23" s="6" t="inlineStr">
        <is>
          <t>002-1625-4180-5</t>
        </is>
      </c>
      <c r="E23" s="21" t="n">
        <v>44305</v>
      </c>
      <c r="F23" s="5" t="inlineStr">
        <is>
          <t>저지(Jersey)</t>
        </is>
      </c>
      <c r="G23" s="9" t="n"/>
      <c r="H23" s="9" t="n"/>
      <c r="I23" s="9" t="n"/>
      <c r="J23" s="9" t="n"/>
    </row>
    <row r="24">
      <c r="A24" s="5" t="n">
        <v>19</v>
      </c>
      <c r="B24" s="5" t="n">
        <v>414</v>
      </c>
      <c r="C24" s="6" t="inlineStr">
        <is>
          <t>Jessica</t>
        </is>
      </c>
      <c r="D24" s="6" t="inlineStr">
        <is>
          <t>002-1659-3323-4</t>
        </is>
      </c>
      <c r="E24" s="21" t="n">
        <v>44392</v>
      </c>
      <c r="F24" s="5" t="inlineStr">
        <is>
          <t>저지(Jersey)</t>
        </is>
      </c>
      <c r="G24" s="9" t="n"/>
      <c r="H24" s="9" t="n"/>
      <c r="I24" s="9" t="n"/>
      <c r="J24" s="9" t="n"/>
    </row>
    <row r="25">
      <c r="A25" s="5" t="n">
        <v>20</v>
      </c>
      <c r="B25" s="5" t="n">
        <v>423</v>
      </c>
      <c r="C25" s="6" t="inlineStr">
        <is>
          <t>Jangmi</t>
        </is>
      </c>
      <c r="D25" s="6" t="inlineStr">
        <is>
          <t>002-1664-7259-8</t>
        </is>
      </c>
      <c r="E25" s="21" t="n">
        <v>44435</v>
      </c>
      <c r="F25" s="5" t="inlineStr">
        <is>
          <t>저지(Jersey)</t>
        </is>
      </c>
      <c r="G25" s="9" t="n"/>
      <c r="H25" s="9" t="n"/>
      <c r="I25" s="9" t="n"/>
      <c r="J25" s="9" t="n"/>
    </row>
    <row r="26">
      <c r="A26" s="5" t="n">
        <v>21</v>
      </c>
      <c r="B26" s="5" t="n">
        <v>428</v>
      </c>
      <c r="C26" s="6" t="inlineStr">
        <is>
          <t>Java</t>
        </is>
      </c>
      <c r="D26" s="6" t="inlineStr">
        <is>
          <t>002-1681-2000-6</t>
        </is>
      </c>
      <c r="E26" s="21" t="n">
        <v>44441</v>
      </c>
      <c r="F26" s="5" t="inlineStr">
        <is>
          <t>저지(Jersey)</t>
        </is>
      </c>
      <c r="G26" s="9" t="n"/>
      <c r="H26" s="9" t="n"/>
      <c r="I26" s="9" t="n"/>
      <c r="J26" s="9" t="n"/>
    </row>
    <row r="27">
      <c r="A27" s="5" t="n">
        <v>22</v>
      </c>
      <c r="B27" s="5" t="n">
        <v>439</v>
      </c>
      <c r="C27" s="6" t="inlineStr">
        <is>
          <t>Jive</t>
        </is>
      </c>
      <c r="D27" s="6" t="inlineStr">
        <is>
          <t>002-1697-2801-2</t>
        </is>
      </c>
      <c r="E27" s="21" t="n">
        <v>44518</v>
      </c>
      <c r="F27" s="5" t="inlineStr">
        <is>
          <t>저지(Jersey)</t>
        </is>
      </c>
      <c r="G27" s="9" t="n"/>
      <c r="H27" s="9" t="n"/>
      <c r="I27" s="9" t="n"/>
      <c r="J27" s="9" t="n"/>
    </row>
    <row r="28">
      <c r="A28" s="5" t="n">
        <v>23</v>
      </c>
      <c r="B28" s="5" t="n">
        <v>441</v>
      </c>
      <c r="C28" s="6" t="inlineStr">
        <is>
          <t>Jerom</t>
        </is>
      </c>
      <c r="D28" s="6" t="inlineStr">
        <is>
          <t>002-1697-2791-3</t>
        </is>
      </c>
      <c r="E28" s="21" t="n">
        <v>44520</v>
      </c>
      <c r="F28" s="5" t="inlineStr">
        <is>
          <t>저지(Jersey)</t>
        </is>
      </c>
      <c r="G28" s="9" t="n"/>
      <c r="H28" s="9" t="n"/>
      <c r="I28" s="9" t="n"/>
      <c r="J28" s="9" t="n"/>
    </row>
    <row r="29">
      <c r="A29" s="5" t="n">
        <v>24</v>
      </c>
      <c r="B29" s="5" t="n">
        <v>455</v>
      </c>
      <c r="C29" s="6" t="inlineStr">
        <is>
          <t>Joze</t>
        </is>
      </c>
      <c r="D29" s="6" t="inlineStr">
        <is>
          <t>002-1717-4081-4</t>
        </is>
      </c>
      <c r="E29" s="21" t="n">
        <v>44625</v>
      </c>
      <c r="F29" s="5" t="inlineStr">
        <is>
          <t>저지(Jersey)</t>
        </is>
      </c>
      <c r="G29" s="9" t="n"/>
      <c r="H29" s="9" t="n"/>
      <c r="I29" s="9" t="n"/>
      <c r="J29" s="9" t="n"/>
    </row>
    <row r="30">
      <c r="A30" s="5" t="n">
        <v>25</v>
      </c>
      <c r="B30" s="5" t="n">
        <v>476</v>
      </c>
      <c r="C30" s="6" t="inlineStr">
        <is>
          <t>준희</t>
        </is>
      </c>
      <c r="D30" s="6" t="inlineStr">
        <is>
          <t>002-1806-0650-8</t>
        </is>
      </c>
      <c r="E30" s="21" t="n">
        <v>44799</v>
      </c>
      <c r="F30" s="5" t="inlineStr">
        <is>
          <t>저지(Jersey)</t>
        </is>
      </c>
      <c r="G30" s="9" t="n"/>
      <c r="H30" s="9" t="n"/>
      <c r="I30" s="9" t="n"/>
      <c r="J30" s="9" t="n"/>
    </row>
    <row r="31">
      <c r="A31" s="5" t="n">
        <v>26</v>
      </c>
      <c r="B31" s="5" t="n">
        <v>485</v>
      </c>
      <c r="C31" s="6" t="inlineStr">
        <is>
          <t>Jaru</t>
        </is>
      </c>
      <c r="D31" s="6" t="inlineStr">
        <is>
          <t>002-1799-7697-6</t>
        </is>
      </c>
      <c r="E31" s="21" t="n">
        <v>44799</v>
      </c>
      <c r="F31" s="5" t="inlineStr">
        <is>
          <t>저지(Jersey)</t>
        </is>
      </c>
      <c r="G31" s="9" t="n"/>
      <c r="H31" s="9" t="n"/>
      <c r="I31" s="9" t="n"/>
      <c r="J31" s="9" t="n"/>
    </row>
    <row r="32">
      <c r="A32" s="5" t="n">
        <v>27</v>
      </c>
      <c r="B32" s="5" t="n">
        <v>490</v>
      </c>
      <c r="C32" s="6" t="inlineStr">
        <is>
          <t>Jamong</t>
        </is>
      </c>
      <c r="D32" s="6" t="inlineStr">
        <is>
          <t>002-1799-7868-5</t>
        </is>
      </c>
      <c r="E32" s="21" t="n">
        <v>44816</v>
      </c>
      <c r="F32" s="5" t="inlineStr">
        <is>
          <t>저지(Jersey)</t>
        </is>
      </c>
      <c r="G32" s="9" t="n"/>
      <c r="H32" s="9" t="n"/>
      <c r="I32" s="9" t="n"/>
      <c r="J32" s="9" t="n"/>
    </row>
    <row r="33">
      <c r="A33" s="5" t="n">
        <v>28</v>
      </c>
      <c r="B33" s="5" t="n">
        <v>494</v>
      </c>
      <c r="C33" s="6" t="inlineStr">
        <is>
          <t>Jinhee</t>
        </is>
      </c>
      <c r="D33" s="6" t="inlineStr">
        <is>
          <t>002-1799-8378-7</t>
        </is>
      </c>
      <c r="E33" s="21" t="n">
        <v>44829</v>
      </c>
      <c r="F33" s="5" t="inlineStr">
        <is>
          <t>저지(Jersey)</t>
        </is>
      </c>
      <c r="G33" s="9" t="n"/>
      <c r="H33" s="9" t="n"/>
      <c r="I33" s="9" t="n"/>
      <c r="J33" s="9" t="n"/>
    </row>
    <row r="34">
      <c r="A34" s="5" t="n">
        <v>29</v>
      </c>
      <c r="B34" s="5" t="n">
        <v>529</v>
      </c>
      <c r="C34" s="6" t="inlineStr">
        <is>
          <t>Razan</t>
        </is>
      </c>
      <c r="D34" s="6" t="inlineStr">
        <is>
          <t>002-1875-9263-9</t>
        </is>
      </c>
      <c r="E34" s="21" t="n">
        <v>45083</v>
      </c>
      <c r="F34" s="5" t="inlineStr">
        <is>
          <t>저지(Jersey)</t>
        </is>
      </c>
      <c r="G34" s="9" t="n"/>
      <c r="H34" s="9" t="n"/>
      <c r="I34" s="9" t="n"/>
      <c r="J34" s="9" t="n"/>
    </row>
    <row r="35">
      <c r="A35" s="5" t="n">
        <v>30</v>
      </c>
      <c r="B35" s="5" t="n">
        <v>564</v>
      </c>
      <c r="C35" s="6" t="inlineStr">
        <is>
          <t>Smashing</t>
        </is>
      </c>
      <c r="D35" s="6" t="inlineStr">
        <is>
          <t>002-1996-6433-8</t>
        </is>
      </c>
      <c r="E35" s="21" t="n">
        <v>45395</v>
      </c>
      <c r="F35" s="5" t="inlineStr">
        <is>
          <t>저지(Jersey)</t>
        </is>
      </c>
      <c r="G35" s="9" t="n"/>
      <c r="H35" s="9" t="n"/>
      <c r="I35" s="9" t="n"/>
      <c r="J35" s="9" t="n"/>
    </row>
    <row r="36">
      <c r="A36" s="5" t="n">
        <v>31</v>
      </c>
      <c r="B36" s="5" t="n">
        <v>565</v>
      </c>
      <c r="C36" s="6" t="inlineStr">
        <is>
          <t>Jami</t>
        </is>
      </c>
      <c r="D36" s="6" t="inlineStr">
        <is>
          <t>002-1753-4218-4</t>
        </is>
      </c>
      <c r="E36" s="21" t="n">
        <v>45411</v>
      </c>
      <c r="F36" s="5" t="inlineStr">
        <is>
          <t>저지(Jersey)</t>
        </is>
      </c>
      <c r="G36" s="9" t="n"/>
      <c r="H36" s="9" t="n"/>
      <c r="I36" s="9" t="n"/>
      <c r="J36" s="9" t="n"/>
    </row>
    <row r="37">
      <c r="A37" s="5" t="n">
        <v>32</v>
      </c>
      <c r="B37" s="5" t="n">
        <v>566</v>
      </c>
      <c r="C37" s="6" t="inlineStr">
        <is>
          <t>Ruan</t>
        </is>
      </c>
      <c r="D37" s="6" t="inlineStr">
        <is>
          <t>002-1753-4219-2</t>
        </is>
      </c>
      <c r="E37" s="21" t="n">
        <v>45419</v>
      </c>
      <c r="F37" s="5" t="inlineStr">
        <is>
          <t>저지(Jersey)</t>
        </is>
      </c>
      <c r="G37" s="9" t="n"/>
      <c r="H37" s="9" t="n"/>
      <c r="I37" s="9" t="n"/>
      <c r="J3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62" customWidth="1" min="3" max="3"/>
    <col width="30" customWidth="1" min="4" max="4"/>
  </cols>
  <sheetData>
    <row r="1">
      <c r="A1" s="1" t="inlineStr">
        <is>
          <t>혈통번호(등록번호) 확보 절차 — 왜 인터넷 조회가 불가한가 &amp; 실제 확보 경로</t>
        </is>
      </c>
    </row>
    <row r="4">
      <c r="A4" s="16" t="inlineStr">
        <is>
          <t>■ 결론</t>
        </is>
      </c>
    </row>
    <row r="5" ht="30" customHeight="1">
      <c r="B5" s="17" t="inlineStr">
        <is>
          <t xml:space="preserve"> 1</t>
        </is>
      </c>
      <c r="C5" s="20" t="inlineStr">
        <is>
          <t>개체식별번호(이력제번호) → 혈통번호를 자동 매칭해 주는 공개 인터넷 서비스는 존재하지 않습니다.</t>
        </is>
      </c>
      <c r="D5" s="2" t="inlineStr">
        <is>
          <t>확인 결과</t>
        </is>
      </c>
    </row>
    <row r="6" ht="30" customHeight="1">
      <c r="B6" s="17" t="inlineStr">
        <is>
          <t xml:space="preserve"> 2</t>
        </is>
      </c>
      <c r="C6" s="20" t="inlineStr">
        <is>
          <t>축산물이력제(mtrace.go.kr)가 공개하는 항목은 출생일자·품종·성별·사육지·농장경영자·도축/등급 정보이며, 혈통번호는 공개 항목이 아닙니다.</t>
        </is>
      </c>
      <c r="D6" s="2" t="inlineStr">
        <is>
          <t>확인 결과</t>
        </is>
      </c>
    </row>
    <row r="7" ht="30" customHeight="1">
      <c r="B7" s="17" t="inlineStr">
        <is>
          <t xml:space="preserve"> 3</t>
        </is>
      </c>
      <c r="C7" s="20" t="inlineStr">
        <is>
          <t>혈통번호는 한국종축개량협회(젖소개량부)가 등록 개체에 부여하며, 소유 농가 인증 계정·혈통등록증·검정 개체카드를 통해서만 확인됩니다.</t>
        </is>
      </c>
      <c r="D7" s="2" t="inlineStr">
        <is>
          <t>확인 결과</t>
        </is>
      </c>
    </row>
    <row r="8" ht="30" customHeight="1">
      <c r="B8" s="17" t="inlineStr">
        <is>
          <t xml:space="preserve"> 4</t>
        </is>
      </c>
      <c r="C8" s="20" t="inlineStr">
        <is>
          <t>추가로 본 작업환경은 네트워크 정책상 mtrace.go.kr / aiak.or.kr / dcic.co.kr 접속이 차단(게이트웨이 403)되어 직접 조회 자체가 불가했습니다.</t>
        </is>
      </c>
      <c r="D8" s="2" t="inlineStr">
        <is>
          <t>환경 제약</t>
        </is>
      </c>
    </row>
    <row r="9" ht="30" customHeight="1">
      <c r="B9" s="17" t="inlineStr">
        <is>
          <t xml:space="preserve"> 5</t>
        </is>
      </c>
      <c r="C9" s="20" t="inlineStr">
        <is>
          <t>혈통번호는 수출검역·수정란 혈통증명·개량자료에 직결되는 항목이므로 추정·생성하지 않고 공란으로 두었습니다.</t>
        </is>
      </c>
      <c r="D9" s="2" t="inlineStr">
        <is>
          <t>원칙</t>
        </is>
      </c>
    </row>
    <row r="11">
      <c r="A11" s="16" t="inlineStr">
        <is>
          <t>■ 확보 경로 (권장 순서)</t>
        </is>
      </c>
    </row>
    <row r="12" ht="30" customHeight="1">
      <c r="B12" s="17" t="inlineStr">
        <is>
          <t>경로 1 — 목장 보유자료</t>
        </is>
      </c>
      <c r="C12" s="20" t="inlineStr">
        <is>
          <t>기존 혈통등록증(혈통증명서) 원본/사본에서 직접 전사. 가장 빠르고 비용 없음.</t>
        </is>
      </c>
      <c r="D12" s="2" t="inlineStr">
        <is>
          <t>즉시 / 목장 자체</t>
        </is>
      </c>
    </row>
    <row r="13" ht="30" customHeight="1">
      <c r="B13" s="17" t="inlineStr">
        <is>
          <t>경로 2 — 젖소검정 성적표</t>
        </is>
      </c>
      <c r="C13" s="20" t="inlineStr">
        <is>
          <t>낙농개량사업소(DCIC) 검정농가인 경우, 월간 검정성적표·개체카드에 혈통번호가 이미 인쇄되어 있음.</t>
        </is>
      </c>
      <c r="D13" s="2" t="inlineStr">
        <is>
          <t>즉시 / 검정농가 한정</t>
        </is>
      </c>
    </row>
    <row r="14" ht="30" customHeight="1">
      <c r="B14" s="17" t="inlineStr">
        <is>
          <t>경로 3 — 협회 농가계정</t>
        </is>
      </c>
      <c r="C14" s="20" t="inlineStr">
        <is>
          <t>한국종축개량협회 홈페이지 농가 로그인 → 농가별 개체 자료조회에서 보유 개체 등록번호 일괄 확인.</t>
        </is>
      </c>
      <c r="D14" s="2" t="inlineStr">
        <is>
          <t>1일 내 / 농가인증 필요</t>
        </is>
      </c>
    </row>
    <row r="15" ht="30" customHeight="1">
      <c r="B15" s="17" t="inlineStr">
        <is>
          <t>경로 4 — 협회 일괄조회 요청</t>
        </is>
      </c>
      <c r="C15" s="20" t="inlineStr">
        <is>
          <t>[협회_일괄조회_요청목록] 시트를 젖소개량부에 공문/메일 송부하여 32두 혈통번호 일괄 회신 요청.</t>
        </is>
      </c>
      <c r="D15" s="2" t="inlineStr">
        <is>
          <t>수일 / 사전 협의 권장</t>
        </is>
      </c>
    </row>
    <row r="16" ht="30" customHeight="1">
      <c r="B16" s="17" t="inlineStr">
        <is>
          <t>경로 5 — 미등록 개체 신규등록</t>
        </is>
      </c>
      <c r="C16" s="20" t="inlineStr">
        <is>
          <t>조회 결과 미등록으로 확인되는 개체는 혈통등록 신규 신청 진행(부·모 정보 및 수정기록 필요).</t>
        </is>
      </c>
      <c r="D16" s="2" t="inlineStr">
        <is>
          <t>수주 / 비용 발생</t>
        </is>
      </c>
    </row>
    <row r="18">
      <c r="A18" s="16" t="inlineStr">
        <is>
          <t>■ 확보 후 처리</t>
        </is>
      </c>
    </row>
    <row r="19" ht="30" customHeight="1">
      <c r="B19" s="17" t="inlineStr">
        <is>
          <t>기입 위치</t>
        </is>
      </c>
      <c r="C19" s="20" t="inlineStr">
        <is>
          <t>[개체마스터_혈통매칭] 시트 K열(혈통번호) · L열(출처/확보일)에 기입하면 요약 카운터가 자동 갱신됩니다.</t>
        </is>
      </c>
      <c r="D19" s="2" t="inlineStr"/>
    </row>
    <row r="20" ht="30" customHeight="1">
      <c r="B20" s="17" t="inlineStr">
        <is>
          <t>교차검증</t>
        </is>
      </c>
      <c r="C20" s="20" t="inlineStr">
        <is>
          <t>혈통번호 회신 시 생년월일·품종이 본 시트 값과 일치하는지 반드시 대조 후 확정하십시오.</t>
        </is>
      </c>
      <c r="D20" s="2" t="inlineStr"/>
    </row>
  </sheetData>
  <mergeCells count="3">
    <mergeCell ref="A4:D4"/>
    <mergeCell ref="A18:D18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2026-08-24T08:03:48Z</dcterms:created>
  <dcterms:modified xsi:type="dcterms:W3CDTF">2026-08-24T08:04:58Z</dcterms:modified>
</cp:coreProperties>
</file>