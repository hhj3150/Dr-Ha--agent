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값" sheetId="1" state="visible" r:id="rId1"/>
    <sheet xmlns:r="http://schemas.openxmlformats.org/officeDocument/2006/relationships" name="일일교반" sheetId="2" state="visible" r:id="rId2"/>
    <sheet xmlns:r="http://schemas.openxmlformats.org/officeDocument/2006/relationships" name="주간측정" sheetId="3" state="visible" r:id="rId3"/>
    <sheet xmlns:r="http://schemas.openxmlformats.org/officeDocument/2006/relationships" name="주간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30" customWidth="1" min="4" max="4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단위</t>
        </is>
      </c>
      <c r="D1" s="1" t="inlineStr">
        <is>
          <t>근거</t>
        </is>
      </c>
    </row>
    <row r="2">
      <c r="A2" s="2" t="inlineStr">
        <is>
          <t>건유·육성우동 휴식 공간</t>
        </is>
      </c>
      <c r="B2" s="2" t="n">
        <v>850</v>
      </c>
      <c r="C2" s="2" t="inlineStr">
        <is>
          <t>m²</t>
        </is>
      </c>
      <c r="D2" s="2" t="inlineStr">
        <is>
          <t>평면도 v3 (17×50)</t>
        </is>
      </c>
    </row>
    <row r="3">
      <c r="A3" s="2" t="inlineStr">
        <is>
          <t>착유장 휴식 공간</t>
        </is>
      </c>
      <c r="B3" s="2" t="n">
        <v>518</v>
      </c>
      <c r="C3" s="2" t="inlineStr">
        <is>
          <t>m²</t>
        </is>
      </c>
      <c r="D3" s="2" t="inlineStr">
        <is>
          <t>평면도 v3 (14×37)</t>
        </is>
      </c>
    </row>
    <row r="4">
      <c r="A4" s="2" t="inlineStr">
        <is>
          <t>교반 면적 합계</t>
        </is>
      </c>
      <c r="B4" s="2" t="n">
        <v>1368</v>
      </c>
      <c r="C4" s="2" t="inlineStr">
        <is>
          <t>m²</t>
        </is>
      </c>
      <c r="D4" s="2" t="inlineStr">
        <is>
          <t>휴식 공간 합계</t>
        </is>
      </c>
    </row>
    <row r="5">
      <c r="A5" s="2" t="inlineStr">
        <is>
          <t>교반 주기</t>
        </is>
      </c>
      <c r="B5" s="2" t="n">
        <v>2</v>
      </c>
      <c r="C5" s="2" t="inlineStr">
        <is>
          <t>회/일</t>
        </is>
      </c>
      <c r="D5" s="2" t="inlineStr">
        <is>
          <t>SOP-M1 v1.0 (아침·저녁)</t>
        </is>
      </c>
    </row>
    <row r="6">
      <c r="A6" s="2" t="inlineStr">
        <is>
          <t>로봇 목표 작업능률</t>
        </is>
      </c>
      <c r="B6" s="2" t="n">
        <v>1500</v>
      </c>
      <c r="C6" s="2" t="inlineStr">
        <is>
          <t>m²/hr</t>
        </is>
      </c>
      <c r="D6" s="2" t="inlineStr">
        <is>
          <t>1차년도 계획서</t>
        </is>
      </c>
    </row>
    <row r="7">
      <c r="A7" s="2" t="inlineStr">
        <is>
          <t>로봇 목표 미작업률</t>
        </is>
      </c>
      <c r="B7" s="2" t="n">
        <v>10</v>
      </c>
      <c r="C7" s="2" t="inlineStr">
        <is>
          <t>%</t>
        </is>
      </c>
      <c r="D7" s="2" t="inlineStr">
        <is>
          <t>1차년도 계획서</t>
        </is>
      </c>
    </row>
    <row r="8">
      <c r="A8" s="2" t="inlineStr">
        <is>
          <t>로봇 목표 교반깊이 오차</t>
        </is>
      </c>
      <c r="B8" s="2" t="n">
        <v>20</v>
      </c>
      <c r="C8" s="2" t="inlineStr">
        <is>
          <t>mm</t>
        </is>
      </c>
      <c r="D8" s="2" t="inlineStr">
        <is>
          <t>1차년도 계획서</t>
        </is>
      </c>
    </row>
    <row r="9">
      <c r="A9" s="2" t="inlineStr">
        <is>
          <t>설정 교반 깊이</t>
        </is>
      </c>
      <c r="B9" s="2" t="n"/>
      <c r="C9" s="2" t="inlineStr">
        <is>
          <t>cm</t>
        </is>
      </c>
      <c r="D9" s="2" t="inlineStr">
        <is>
          <t>실측 후 기재</t>
        </is>
      </c>
    </row>
    <row r="10">
      <c r="A10" s="2" t="inlineStr">
        <is>
          <t>트랙터</t>
        </is>
      </c>
      <c r="B10" s="2" t="n">
        <v>56</v>
      </c>
      <c r="C10" s="2" t="inlineStr">
        <is>
          <t>HP</t>
        </is>
      </c>
      <c r="D10" s="2" t="inlineStr">
        <is>
          <t>〔모델〕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8" customWidth="1" min="4" max="4"/>
    <col width="8" customWidth="1" min="5" max="5"/>
    <col width="9" customWidth="1" min="6" max="6"/>
    <col width="9" customWidth="1" min="7" max="7"/>
    <col width="10" customWidth="1" min="8" max="8"/>
    <col width="8" customWidth="1" min="9" max="9"/>
    <col width="10" customWidth="1" min="10" max="10"/>
    <col width="11" customWidth="1" min="11" max="11"/>
    <col width="8" customWidth="1" min="12" max="12"/>
    <col width="8" customWidth="1" min="13" max="13"/>
    <col width="12" customWidth="1" min="14" max="14"/>
    <col width="10" customWidth="1" min="15" max="15"/>
    <col width="11" customWidth="1" min="16" max="16"/>
    <col width="8" customWidth="1" min="17" max="17"/>
    <col width="12" customWidth="1" min="18" max="18"/>
    <col width="8" customWidth="1" min="19" max="19"/>
    <col width="24" customWidth="1" min="20" max="20"/>
    <col width="11" customWidth="1" min="21" max="21"/>
    <col width="12" customWidth="1" min="22" max="22"/>
    <col width="10" customWidth="1" min="23" max="23"/>
  </cols>
  <sheetData>
    <row r="1">
      <c r="A1" s="1" t="inlineStr">
        <is>
          <t>일자</t>
        </is>
      </c>
      <c r="B1" s="1" t="inlineStr">
        <is>
          <t>회차</t>
        </is>
      </c>
      <c r="C1" s="1" t="inlineStr">
        <is>
          <t>동</t>
        </is>
      </c>
      <c r="D1" s="1" t="inlineStr">
        <is>
          <t>시작</t>
        </is>
      </c>
      <c r="E1" s="1" t="inlineStr">
        <is>
          <t>종료</t>
        </is>
      </c>
      <c r="F1" s="1" t="inlineStr">
        <is>
          <t>소요(분)</t>
        </is>
      </c>
      <c r="G1" s="1" t="inlineStr">
        <is>
          <t>작업자</t>
        </is>
      </c>
      <c r="H1" s="1" t="inlineStr">
        <is>
          <t>표준동일(Y/N)</t>
        </is>
      </c>
      <c r="I1" s="1" t="inlineStr">
        <is>
          <t>왕복(회)</t>
        </is>
      </c>
      <c r="J1" s="1" t="inlineStr">
        <is>
          <t>소회피정지(회)</t>
        </is>
      </c>
      <c r="K1" s="1" t="inlineStr">
        <is>
          <t>미교반(m²,추정)</t>
        </is>
      </c>
      <c r="L1" s="1" t="inlineStr">
        <is>
          <t>수분(1-5)</t>
        </is>
      </c>
      <c r="M1" s="1" t="inlineStr">
        <is>
          <t>냄새(1-5)</t>
        </is>
      </c>
      <c r="N1" s="1" t="inlineStr">
        <is>
          <t>덩어리·과습</t>
        </is>
      </c>
      <c r="O1" s="1" t="inlineStr">
        <is>
          <t>톱밥추가(m³)</t>
        </is>
      </c>
      <c r="P1" s="1" t="inlineStr">
        <is>
          <t>피트모스추가(m³)</t>
        </is>
      </c>
      <c r="Q1" s="1" t="inlineStr">
        <is>
          <t>주유(L)</t>
        </is>
      </c>
      <c r="R1" s="1" t="inlineStr">
        <is>
          <t>영수증번호</t>
        </is>
      </c>
      <c r="S1" s="1" t="inlineStr">
        <is>
          <t>이탈(Y/N)</t>
        </is>
      </c>
      <c r="T1" s="1" t="inlineStr">
        <is>
          <t>특이사항</t>
        </is>
      </c>
      <c r="U1" s="1" t="inlineStr">
        <is>
          <t>휴식공간(m²)</t>
        </is>
      </c>
      <c r="V1" s="1" t="inlineStr">
        <is>
          <t>작업능률(m²/hr)</t>
        </is>
      </c>
      <c r="W1" s="1" t="inlineStr">
        <is>
          <t>미작업률(%)</t>
        </is>
      </c>
    </row>
    <row r="2">
      <c r="A2" s="3" t="n"/>
      <c r="B2" s="4" t="n"/>
      <c r="C2" s="4" t="n"/>
      <c r="D2" s="5" t="n"/>
      <c r="E2" s="5" t="n"/>
      <c r="F2" s="6">
        <f>IF(AND(D2&lt;&gt;"",E2&lt;&gt;""),ROUND((E2-D2)*1440,0),"")</f>
        <v/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6">
        <f>IF(C2="착유장",기준값!$B$3,IF(C2="건유·육성우동",기준값!$B$2,""))</f>
        <v/>
      </c>
      <c r="V2" s="6">
        <f>IF(AND(F2&lt;&gt;"",F2&gt;0,U2&lt;&gt;""),ROUND((U2-N(K2))/(F2/60),0),"")</f>
        <v/>
      </c>
      <c r="W2" s="6">
        <f>IF(U2&lt;&gt;"",ROUND(N(K2)/U2*100,1),"")</f>
        <v/>
      </c>
    </row>
    <row r="3">
      <c r="A3" s="3" t="n"/>
      <c r="B3" s="4" t="n"/>
      <c r="C3" s="4" t="n"/>
      <c r="D3" s="5" t="n"/>
      <c r="E3" s="5" t="n"/>
      <c r="F3" s="6">
        <f>IF(AND(D3&lt;&gt;"",E3&lt;&gt;""),ROUND((E3-D3)*1440,0),"")</f>
        <v/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6">
        <f>IF(C3="착유장",기준값!$B$3,IF(C3="건유·육성우동",기준값!$B$2,""))</f>
        <v/>
      </c>
      <c r="V3" s="6">
        <f>IF(AND(F3&lt;&gt;"",F3&gt;0,U3&lt;&gt;""),ROUND((U3-N(K3))/(F3/60),0),"")</f>
        <v/>
      </c>
      <c r="W3" s="6">
        <f>IF(U3&lt;&gt;"",ROUND(N(K3)/U3*100,1),"")</f>
        <v/>
      </c>
    </row>
    <row r="4">
      <c r="A4" s="3" t="n"/>
      <c r="B4" s="4" t="n"/>
      <c r="C4" s="4" t="n"/>
      <c r="D4" s="5" t="n"/>
      <c r="E4" s="5" t="n"/>
      <c r="F4" s="6">
        <f>IF(AND(D4&lt;&gt;"",E4&lt;&gt;""),ROUND((E4-D4)*1440,0),"")</f>
        <v/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6">
        <f>IF(C4="착유장",기준값!$B$3,IF(C4="건유·육성우동",기준값!$B$2,""))</f>
        <v/>
      </c>
      <c r="V4" s="6">
        <f>IF(AND(F4&lt;&gt;"",F4&gt;0,U4&lt;&gt;""),ROUND((U4-N(K4))/(F4/60),0),"")</f>
        <v/>
      </c>
      <c r="W4" s="6">
        <f>IF(U4&lt;&gt;"",ROUND(N(K4)/U4*100,1),"")</f>
        <v/>
      </c>
    </row>
    <row r="5">
      <c r="A5" s="3" t="n"/>
      <c r="B5" s="4" t="n"/>
      <c r="C5" s="4" t="n"/>
      <c r="D5" s="5" t="n"/>
      <c r="E5" s="5" t="n"/>
      <c r="F5" s="6">
        <f>IF(AND(D5&lt;&gt;"",E5&lt;&gt;""),ROUND((E5-D5)*1440,0),"")</f>
        <v/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6">
        <f>IF(C5="착유장",기준값!$B$3,IF(C5="건유·육성우동",기준값!$B$2,""))</f>
        <v/>
      </c>
      <c r="V5" s="6">
        <f>IF(AND(F5&lt;&gt;"",F5&gt;0,U5&lt;&gt;""),ROUND((U5-N(K5))/(F5/60),0),"")</f>
        <v/>
      </c>
      <c r="W5" s="6">
        <f>IF(U5&lt;&gt;"",ROUND(N(K5)/U5*100,1),"")</f>
        <v/>
      </c>
    </row>
    <row r="6">
      <c r="A6" s="3" t="n"/>
      <c r="B6" s="4" t="n"/>
      <c r="C6" s="4" t="n"/>
      <c r="D6" s="5" t="n"/>
      <c r="E6" s="5" t="n"/>
      <c r="F6" s="6">
        <f>IF(AND(D6&lt;&gt;"",E6&lt;&gt;""),ROUND((E6-D6)*1440,0),"")</f>
        <v/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6">
        <f>IF(C6="착유장",기준값!$B$3,IF(C6="건유·육성우동",기준값!$B$2,""))</f>
        <v/>
      </c>
      <c r="V6" s="6">
        <f>IF(AND(F6&lt;&gt;"",F6&gt;0,U6&lt;&gt;""),ROUND((U6-N(K6))/(F6/60),0),"")</f>
        <v/>
      </c>
      <c r="W6" s="6">
        <f>IF(U6&lt;&gt;"",ROUND(N(K6)/U6*100,1),"")</f>
        <v/>
      </c>
    </row>
    <row r="7">
      <c r="A7" s="3" t="n"/>
      <c r="B7" s="4" t="n"/>
      <c r="C7" s="4" t="n"/>
      <c r="D7" s="5" t="n"/>
      <c r="E7" s="5" t="n"/>
      <c r="F7" s="6">
        <f>IF(AND(D7&lt;&gt;"",E7&lt;&gt;""),ROUND((E7-D7)*1440,0),"")</f>
        <v/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6">
        <f>IF(C7="착유장",기준값!$B$3,IF(C7="건유·육성우동",기준값!$B$2,""))</f>
        <v/>
      </c>
      <c r="V7" s="6">
        <f>IF(AND(F7&lt;&gt;"",F7&gt;0,U7&lt;&gt;""),ROUND((U7-N(K7))/(F7/60),0),"")</f>
        <v/>
      </c>
      <c r="W7" s="6">
        <f>IF(U7&lt;&gt;"",ROUND(N(K7)/U7*100,1),"")</f>
        <v/>
      </c>
    </row>
    <row r="8">
      <c r="A8" s="3" t="n"/>
      <c r="B8" s="4" t="n"/>
      <c r="C8" s="4" t="n"/>
      <c r="D8" s="5" t="n"/>
      <c r="E8" s="5" t="n"/>
      <c r="F8" s="6">
        <f>IF(AND(D8&lt;&gt;"",E8&lt;&gt;""),ROUND((E8-D8)*1440,0),"")</f>
        <v/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6">
        <f>IF(C8="착유장",기준값!$B$3,IF(C8="건유·육성우동",기준값!$B$2,""))</f>
        <v/>
      </c>
      <c r="V8" s="6">
        <f>IF(AND(F8&lt;&gt;"",F8&gt;0,U8&lt;&gt;""),ROUND((U8-N(K8))/(F8/60),0),"")</f>
        <v/>
      </c>
      <c r="W8" s="6">
        <f>IF(U8&lt;&gt;"",ROUND(N(K8)/U8*100,1),"")</f>
        <v/>
      </c>
    </row>
    <row r="9">
      <c r="A9" s="3" t="n"/>
      <c r="B9" s="4" t="n"/>
      <c r="C9" s="4" t="n"/>
      <c r="D9" s="5" t="n"/>
      <c r="E9" s="5" t="n"/>
      <c r="F9" s="6">
        <f>IF(AND(D9&lt;&gt;"",E9&lt;&gt;""),ROUND((E9-D9)*1440,0),"")</f>
        <v/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6">
        <f>IF(C9="착유장",기준값!$B$3,IF(C9="건유·육성우동",기준값!$B$2,""))</f>
        <v/>
      </c>
      <c r="V9" s="6">
        <f>IF(AND(F9&lt;&gt;"",F9&gt;0,U9&lt;&gt;""),ROUND((U9-N(K9))/(F9/60),0),"")</f>
        <v/>
      </c>
      <c r="W9" s="6">
        <f>IF(U9&lt;&gt;"",ROUND(N(K9)/U9*100,1),"")</f>
        <v/>
      </c>
    </row>
    <row r="10">
      <c r="A10" s="3" t="n"/>
      <c r="B10" s="4" t="n"/>
      <c r="C10" s="4" t="n"/>
      <c r="D10" s="5" t="n"/>
      <c r="E10" s="5" t="n"/>
      <c r="F10" s="6">
        <f>IF(AND(D10&lt;&gt;"",E10&lt;&gt;""),ROUND((E10-D10)*1440,0),"")</f>
        <v/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6">
        <f>IF(C10="착유장",기준값!$B$3,IF(C10="건유·육성우동",기준값!$B$2,""))</f>
        <v/>
      </c>
      <c r="V10" s="6">
        <f>IF(AND(F10&lt;&gt;"",F10&gt;0,U10&lt;&gt;""),ROUND((U10-N(K10))/(F10/60),0),"")</f>
        <v/>
      </c>
      <c r="W10" s="6">
        <f>IF(U10&lt;&gt;"",ROUND(N(K10)/U10*100,1),"")</f>
        <v/>
      </c>
    </row>
    <row r="11">
      <c r="A11" s="3" t="n"/>
      <c r="B11" s="4" t="n"/>
      <c r="C11" s="4" t="n"/>
      <c r="D11" s="5" t="n"/>
      <c r="E11" s="5" t="n"/>
      <c r="F11" s="6">
        <f>IF(AND(D11&lt;&gt;"",E11&lt;&gt;""),ROUND((E11-D11)*1440,0),"")</f>
        <v/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6">
        <f>IF(C11="착유장",기준값!$B$3,IF(C11="건유·육성우동",기준값!$B$2,""))</f>
        <v/>
      </c>
      <c r="V11" s="6">
        <f>IF(AND(F11&lt;&gt;"",F11&gt;0,U11&lt;&gt;""),ROUND((U11-N(K11))/(F11/60),0),"")</f>
        <v/>
      </c>
      <c r="W11" s="6">
        <f>IF(U11&lt;&gt;"",ROUND(N(K11)/U11*100,1),"")</f>
        <v/>
      </c>
    </row>
    <row r="12">
      <c r="A12" s="3" t="n"/>
      <c r="B12" s="4" t="n"/>
      <c r="C12" s="4" t="n"/>
      <c r="D12" s="5" t="n"/>
      <c r="E12" s="5" t="n"/>
      <c r="F12" s="6">
        <f>IF(AND(D12&lt;&gt;"",E12&lt;&gt;""),ROUND((E12-D12)*1440,0),"")</f>
        <v/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6">
        <f>IF(C12="착유장",기준값!$B$3,IF(C12="건유·육성우동",기준값!$B$2,""))</f>
        <v/>
      </c>
      <c r="V12" s="6">
        <f>IF(AND(F12&lt;&gt;"",F12&gt;0,U12&lt;&gt;""),ROUND((U12-N(K12))/(F12/60),0),"")</f>
        <v/>
      </c>
      <c r="W12" s="6">
        <f>IF(U12&lt;&gt;"",ROUND(N(K12)/U12*100,1),"")</f>
        <v/>
      </c>
    </row>
    <row r="13">
      <c r="A13" s="3" t="n"/>
      <c r="B13" s="4" t="n"/>
      <c r="C13" s="4" t="n"/>
      <c r="D13" s="5" t="n"/>
      <c r="E13" s="5" t="n"/>
      <c r="F13" s="6">
        <f>IF(AND(D13&lt;&gt;"",E13&lt;&gt;""),ROUND((E13-D13)*1440,0),"")</f>
        <v/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6">
        <f>IF(C13="착유장",기준값!$B$3,IF(C13="건유·육성우동",기준값!$B$2,""))</f>
        <v/>
      </c>
      <c r="V13" s="6">
        <f>IF(AND(F13&lt;&gt;"",F13&gt;0,U13&lt;&gt;""),ROUND((U13-N(K13))/(F13/60),0),"")</f>
        <v/>
      </c>
      <c r="W13" s="6">
        <f>IF(U13&lt;&gt;"",ROUND(N(K13)/U13*100,1),"")</f>
        <v/>
      </c>
    </row>
    <row r="14">
      <c r="A14" s="3" t="n"/>
      <c r="B14" s="4" t="n"/>
      <c r="C14" s="4" t="n"/>
      <c r="D14" s="5" t="n"/>
      <c r="E14" s="5" t="n"/>
      <c r="F14" s="6">
        <f>IF(AND(D14&lt;&gt;"",E14&lt;&gt;""),ROUND((E14-D14)*1440,0),"")</f>
        <v/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6">
        <f>IF(C14="착유장",기준값!$B$3,IF(C14="건유·육성우동",기준값!$B$2,""))</f>
        <v/>
      </c>
      <c r="V14" s="6">
        <f>IF(AND(F14&lt;&gt;"",F14&gt;0,U14&lt;&gt;""),ROUND((U14-N(K14))/(F14/60),0),"")</f>
        <v/>
      </c>
      <c r="W14" s="6">
        <f>IF(U14&lt;&gt;"",ROUND(N(K14)/U14*100,1),"")</f>
        <v/>
      </c>
    </row>
    <row r="15">
      <c r="A15" s="3" t="n"/>
      <c r="B15" s="4" t="n"/>
      <c r="C15" s="4" t="n"/>
      <c r="D15" s="5" t="n"/>
      <c r="E15" s="5" t="n"/>
      <c r="F15" s="6">
        <f>IF(AND(D15&lt;&gt;"",E15&lt;&gt;""),ROUND((E15-D15)*1440,0),"")</f>
        <v/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6">
        <f>IF(C15="착유장",기준값!$B$3,IF(C15="건유·육성우동",기준값!$B$2,""))</f>
        <v/>
      </c>
      <c r="V15" s="6">
        <f>IF(AND(F15&lt;&gt;"",F15&gt;0,U15&lt;&gt;""),ROUND((U15-N(K15))/(F15/60),0),"")</f>
        <v/>
      </c>
      <c r="W15" s="6">
        <f>IF(U15&lt;&gt;"",ROUND(N(K15)/U15*100,1),"")</f>
        <v/>
      </c>
    </row>
    <row r="16">
      <c r="A16" s="3" t="n"/>
      <c r="B16" s="4" t="n"/>
      <c r="C16" s="4" t="n"/>
      <c r="D16" s="5" t="n"/>
      <c r="E16" s="5" t="n"/>
      <c r="F16" s="6">
        <f>IF(AND(D16&lt;&gt;"",E16&lt;&gt;""),ROUND((E16-D16)*1440,0),"")</f>
        <v/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6">
        <f>IF(C16="착유장",기준값!$B$3,IF(C16="건유·육성우동",기준값!$B$2,""))</f>
        <v/>
      </c>
      <c r="V16" s="6">
        <f>IF(AND(F16&lt;&gt;"",F16&gt;0,U16&lt;&gt;""),ROUND((U16-N(K16))/(F16/60),0),"")</f>
        <v/>
      </c>
      <c r="W16" s="6">
        <f>IF(U16&lt;&gt;"",ROUND(N(K16)/U16*100,1),"")</f>
        <v/>
      </c>
    </row>
    <row r="17">
      <c r="A17" s="3" t="n"/>
      <c r="B17" s="4" t="n"/>
      <c r="C17" s="4" t="n"/>
      <c r="D17" s="5" t="n"/>
      <c r="E17" s="5" t="n"/>
      <c r="F17" s="6">
        <f>IF(AND(D17&lt;&gt;"",E17&lt;&gt;""),ROUND((E17-D17)*1440,0),"")</f>
        <v/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6">
        <f>IF(C17="착유장",기준값!$B$3,IF(C17="건유·육성우동",기준값!$B$2,""))</f>
        <v/>
      </c>
      <c r="V17" s="6">
        <f>IF(AND(F17&lt;&gt;"",F17&gt;0,U17&lt;&gt;""),ROUND((U17-N(K17))/(F17/60),0),"")</f>
        <v/>
      </c>
      <c r="W17" s="6">
        <f>IF(U17&lt;&gt;"",ROUND(N(K17)/U17*100,1),"")</f>
        <v/>
      </c>
    </row>
    <row r="18">
      <c r="A18" s="3" t="n"/>
      <c r="B18" s="4" t="n"/>
      <c r="C18" s="4" t="n"/>
      <c r="D18" s="5" t="n"/>
      <c r="E18" s="5" t="n"/>
      <c r="F18" s="6">
        <f>IF(AND(D18&lt;&gt;"",E18&lt;&gt;""),ROUND((E18-D18)*1440,0),"")</f>
        <v/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6">
        <f>IF(C18="착유장",기준값!$B$3,IF(C18="건유·육성우동",기준값!$B$2,""))</f>
        <v/>
      </c>
      <c r="V18" s="6">
        <f>IF(AND(F18&lt;&gt;"",F18&gt;0,U18&lt;&gt;""),ROUND((U18-N(K18))/(F18/60),0),"")</f>
        <v/>
      </c>
      <c r="W18" s="6">
        <f>IF(U18&lt;&gt;"",ROUND(N(K18)/U18*100,1),"")</f>
        <v/>
      </c>
    </row>
    <row r="19">
      <c r="A19" s="3" t="n"/>
      <c r="B19" s="4" t="n"/>
      <c r="C19" s="4" t="n"/>
      <c r="D19" s="5" t="n"/>
      <c r="E19" s="5" t="n"/>
      <c r="F19" s="6">
        <f>IF(AND(D19&lt;&gt;"",E19&lt;&gt;""),ROUND((E19-D19)*1440,0),"")</f>
        <v/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6">
        <f>IF(C19="착유장",기준값!$B$3,IF(C19="건유·육성우동",기준값!$B$2,""))</f>
        <v/>
      </c>
      <c r="V19" s="6">
        <f>IF(AND(F19&lt;&gt;"",F19&gt;0,U19&lt;&gt;""),ROUND((U19-N(K19))/(F19/60),0),"")</f>
        <v/>
      </c>
      <c r="W19" s="6">
        <f>IF(U19&lt;&gt;"",ROUND(N(K19)/U19*100,1),"")</f>
        <v/>
      </c>
    </row>
    <row r="20">
      <c r="A20" s="3" t="n"/>
      <c r="B20" s="4" t="n"/>
      <c r="C20" s="4" t="n"/>
      <c r="D20" s="5" t="n"/>
      <c r="E20" s="5" t="n"/>
      <c r="F20" s="6">
        <f>IF(AND(D20&lt;&gt;"",E20&lt;&gt;""),ROUND((E20-D20)*1440,0),"")</f>
        <v/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6">
        <f>IF(C20="착유장",기준값!$B$3,IF(C20="건유·육성우동",기준값!$B$2,""))</f>
        <v/>
      </c>
      <c r="V20" s="6">
        <f>IF(AND(F20&lt;&gt;"",F20&gt;0,U20&lt;&gt;""),ROUND((U20-N(K20))/(F20/60),0),"")</f>
        <v/>
      </c>
      <c r="W20" s="6">
        <f>IF(U20&lt;&gt;"",ROUND(N(K20)/U20*100,1),"")</f>
        <v/>
      </c>
    </row>
    <row r="21">
      <c r="A21" s="3" t="n"/>
      <c r="B21" s="4" t="n"/>
      <c r="C21" s="4" t="n"/>
      <c r="D21" s="5" t="n"/>
      <c r="E21" s="5" t="n"/>
      <c r="F21" s="6">
        <f>IF(AND(D21&lt;&gt;"",E21&lt;&gt;""),ROUND((E21-D21)*1440,0),"")</f>
        <v/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6">
        <f>IF(C21="착유장",기준값!$B$3,IF(C21="건유·육성우동",기준값!$B$2,""))</f>
        <v/>
      </c>
      <c r="V21" s="6">
        <f>IF(AND(F21&lt;&gt;"",F21&gt;0,U21&lt;&gt;""),ROUND((U21-N(K21))/(F21/60),0),"")</f>
        <v/>
      </c>
      <c r="W21" s="6">
        <f>IF(U21&lt;&gt;"",ROUND(N(K21)/U21*100,1),"")</f>
        <v/>
      </c>
    </row>
    <row r="22">
      <c r="A22" s="3" t="n"/>
      <c r="B22" s="4" t="n"/>
      <c r="C22" s="4" t="n"/>
      <c r="D22" s="5" t="n"/>
      <c r="E22" s="5" t="n"/>
      <c r="F22" s="6">
        <f>IF(AND(D22&lt;&gt;"",E22&lt;&gt;""),ROUND((E22-D22)*1440,0),"")</f>
        <v/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6">
        <f>IF(C22="착유장",기준값!$B$3,IF(C22="건유·육성우동",기준값!$B$2,""))</f>
        <v/>
      </c>
      <c r="V22" s="6">
        <f>IF(AND(F22&lt;&gt;"",F22&gt;0,U22&lt;&gt;""),ROUND((U22-N(K22))/(F22/60),0),"")</f>
        <v/>
      </c>
      <c r="W22" s="6">
        <f>IF(U22&lt;&gt;"",ROUND(N(K22)/U22*100,1),"")</f>
        <v/>
      </c>
    </row>
    <row r="23">
      <c r="A23" s="3" t="n"/>
      <c r="B23" s="4" t="n"/>
      <c r="C23" s="4" t="n"/>
      <c r="D23" s="5" t="n"/>
      <c r="E23" s="5" t="n"/>
      <c r="F23" s="6">
        <f>IF(AND(D23&lt;&gt;"",E23&lt;&gt;""),ROUND((E23-D23)*1440,0),"")</f>
        <v/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6">
        <f>IF(C23="착유장",기준값!$B$3,IF(C23="건유·육성우동",기준값!$B$2,""))</f>
        <v/>
      </c>
      <c r="V23" s="6">
        <f>IF(AND(F23&lt;&gt;"",F23&gt;0,U23&lt;&gt;""),ROUND((U23-N(K23))/(F23/60),0),"")</f>
        <v/>
      </c>
      <c r="W23" s="6">
        <f>IF(U23&lt;&gt;"",ROUND(N(K23)/U23*100,1),"")</f>
        <v/>
      </c>
    </row>
    <row r="24">
      <c r="A24" s="3" t="n"/>
      <c r="B24" s="4" t="n"/>
      <c r="C24" s="4" t="n"/>
      <c r="D24" s="5" t="n"/>
      <c r="E24" s="5" t="n"/>
      <c r="F24" s="6">
        <f>IF(AND(D24&lt;&gt;"",E24&lt;&gt;""),ROUND((E24-D24)*1440,0),"")</f>
        <v/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6">
        <f>IF(C24="착유장",기준값!$B$3,IF(C24="건유·육성우동",기준값!$B$2,""))</f>
        <v/>
      </c>
      <c r="V24" s="6">
        <f>IF(AND(F24&lt;&gt;"",F24&gt;0,U24&lt;&gt;""),ROUND((U24-N(K24))/(F24/60),0),"")</f>
        <v/>
      </c>
      <c r="W24" s="6">
        <f>IF(U24&lt;&gt;"",ROUND(N(K24)/U24*100,1),"")</f>
        <v/>
      </c>
    </row>
    <row r="25">
      <c r="A25" s="3" t="n"/>
      <c r="B25" s="4" t="n"/>
      <c r="C25" s="4" t="n"/>
      <c r="D25" s="5" t="n"/>
      <c r="E25" s="5" t="n"/>
      <c r="F25" s="6">
        <f>IF(AND(D25&lt;&gt;"",E25&lt;&gt;""),ROUND((E25-D25)*1440,0),"")</f>
        <v/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6">
        <f>IF(C25="착유장",기준값!$B$3,IF(C25="건유·육성우동",기준값!$B$2,""))</f>
        <v/>
      </c>
      <c r="V25" s="6">
        <f>IF(AND(F25&lt;&gt;"",F25&gt;0,U25&lt;&gt;""),ROUND((U25-N(K25))/(F25/60),0),"")</f>
        <v/>
      </c>
      <c r="W25" s="6">
        <f>IF(U25&lt;&gt;"",ROUND(N(K25)/U25*100,1),"")</f>
        <v/>
      </c>
    </row>
    <row r="26">
      <c r="A26" s="3" t="n"/>
      <c r="B26" s="4" t="n"/>
      <c r="C26" s="4" t="n"/>
      <c r="D26" s="5" t="n"/>
      <c r="E26" s="5" t="n"/>
      <c r="F26" s="6">
        <f>IF(AND(D26&lt;&gt;"",E26&lt;&gt;""),ROUND((E26-D26)*1440,0),"")</f>
        <v/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6">
        <f>IF(C26="착유장",기준값!$B$3,IF(C26="건유·육성우동",기준값!$B$2,""))</f>
        <v/>
      </c>
      <c r="V26" s="6">
        <f>IF(AND(F26&lt;&gt;"",F26&gt;0,U26&lt;&gt;""),ROUND((U26-N(K26))/(F26/60),0),"")</f>
        <v/>
      </c>
      <c r="W26" s="6">
        <f>IF(U26&lt;&gt;"",ROUND(N(K26)/U26*100,1),"")</f>
        <v/>
      </c>
    </row>
    <row r="27">
      <c r="A27" s="3" t="n"/>
      <c r="B27" s="4" t="n"/>
      <c r="C27" s="4" t="n"/>
      <c r="D27" s="5" t="n"/>
      <c r="E27" s="5" t="n"/>
      <c r="F27" s="6">
        <f>IF(AND(D27&lt;&gt;"",E27&lt;&gt;""),ROUND((E27-D27)*1440,0),"")</f>
        <v/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6">
        <f>IF(C27="착유장",기준값!$B$3,IF(C27="건유·육성우동",기준값!$B$2,""))</f>
        <v/>
      </c>
      <c r="V27" s="6">
        <f>IF(AND(F27&lt;&gt;"",F27&gt;0,U27&lt;&gt;""),ROUND((U27-N(K27))/(F27/60),0),"")</f>
        <v/>
      </c>
      <c r="W27" s="6">
        <f>IF(U27&lt;&gt;"",ROUND(N(K27)/U27*100,1),"")</f>
        <v/>
      </c>
    </row>
    <row r="28">
      <c r="A28" s="3" t="n"/>
      <c r="B28" s="4" t="n"/>
      <c r="C28" s="4" t="n"/>
      <c r="D28" s="5" t="n"/>
      <c r="E28" s="5" t="n"/>
      <c r="F28" s="6">
        <f>IF(AND(D28&lt;&gt;"",E28&lt;&gt;""),ROUND((E28-D28)*1440,0),"")</f>
        <v/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6">
        <f>IF(C28="착유장",기준값!$B$3,IF(C28="건유·육성우동",기준값!$B$2,""))</f>
        <v/>
      </c>
      <c r="V28" s="6">
        <f>IF(AND(F28&lt;&gt;"",F28&gt;0,U28&lt;&gt;""),ROUND((U28-N(K28))/(F28/60),0),"")</f>
        <v/>
      </c>
      <c r="W28" s="6">
        <f>IF(U28&lt;&gt;"",ROUND(N(K28)/U28*100,1),"")</f>
        <v/>
      </c>
    </row>
    <row r="29">
      <c r="A29" s="3" t="n"/>
      <c r="B29" s="4" t="n"/>
      <c r="C29" s="4" t="n"/>
      <c r="D29" s="5" t="n"/>
      <c r="E29" s="5" t="n"/>
      <c r="F29" s="6">
        <f>IF(AND(D29&lt;&gt;"",E29&lt;&gt;""),ROUND((E29-D29)*1440,0),"")</f>
        <v/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6">
        <f>IF(C29="착유장",기준값!$B$3,IF(C29="건유·육성우동",기준값!$B$2,""))</f>
        <v/>
      </c>
      <c r="V29" s="6">
        <f>IF(AND(F29&lt;&gt;"",F29&gt;0,U29&lt;&gt;""),ROUND((U29-N(K29))/(F29/60),0),"")</f>
        <v/>
      </c>
      <c r="W29" s="6">
        <f>IF(U29&lt;&gt;"",ROUND(N(K29)/U29*100,1),"")</f>
        <v/>
      </c>
    </row>
    <row r="30">
      <c r="A30" s="3" t="n"/>
      <c r="B30" s="4" t="n"/>
      <c r="C30" s="4" t="n"/>
      <c r="D30" s="5" t="n"/>
      <c r="E30" s="5" t="n"/>
      <c r="F30" s="6">
        <f>IF(AND(D30&lt;&gt;"",E30&lt;&gt;""),ROUND((E30-D30)*1440,0),"")</f>
        <v/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6">
        <f>IF(C30="착유장",기준값!$B$3,IF(C30="건유·육성우동",기준값!$B$2,""))</f>
        <v/>
      </c>
      <c r="V30" s="6">
        <f>IF(AND(F30&lt;&gt;"",F30&gt;0,U30&lt;&gt;""),ROUND((U30-N(K30))/(F30/60),0),"")</f>
        <v/>
      </c>
      <c r="W30" s="6">
        <f>IF(U30&lt;&gt;"",ROUND(N(K30)/U30*100,1),"")</f>
        <v/>
      </c>
    </row>
    <row r="31">
      <c r="A31" s="3" t="n"/>
      <c r="B31" s="4" t="n"/>
      <c r="C31" s="4" t="n"/>
      <c r="D31" s="5" t="n"/>
      <c r="E31" s="5" t="n"/>
      <c r="F31" s="6">
        <f>IF(AND(D31&lt;&gt;"",E31&lt;&gt;""),ROUND((E31-D31)*1440,0),"")</f>
        <v/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6">
        <f>IF(C31="착유장",기준값!$B$3,IF(C31="건유·육성우동",기준값!$B$2,""))</f>
        <v/>
      </c>
      <c r="V31" s="6">
        <f>IF(AND(F31&lt;&gt;"",F31&gt;0,U31&lt;&gt;""),ROUND((U31-N(K31))/(F31/60),0),"")</f>
        <v/>
      </c>
      <c r="W31" s="6">
        <f>IF(U31&lt;&gt;"",ROUND(N(K31)/U31*100,1),"")</f>
        <v/>
      </c>
    </row>
    <row r="32">
      <c r="A32" s="3" t="n"/>
      <c r="B32" s="4" t="n"/>
      <c r="C32" s="4" t="n"/>
      <c r="D32" s="5" t="n"/>
      <c r="E32" s="5" t="n"/>
      <c r="F32" s="6">
        <f>IF(AND(D32&lt;&gt;"",E32&lt;&gt;""),ROUND((E32-D32)*1440,0),"")</f>
        <v/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6">
        <f>IF(C32="착유장",기준값!$B$3,IF(C32="건유·육성우동",기준값!$B$2,""))</f>
        <v/>
      </c>
      <c r="V32" s="6">
        <f>IF(AND(F32&lt;&gt;"",F32&gt;0,U32&lt;&gt;""),ROUND((U32-N(K32))/(F32/60),0),"")</f>
        <v/>
      </c>
      <c r="W32" s="6">
        <f>IF(U32&lt;&gt;"",ROUND(N(K32)/U32*100,1),"")</f>
        <v/>
      </c>
    </row>
    <row r="33">
      <c r="A33" s="3" t="n"/>
      <c r="B33" s="4" t="n"/>
      <c r="C33" s="4" t="n"/>
      <c r="D33" s="5" t="n"/>
      <c r="E33" s="5" t="n"/>
      <c r="F33" s="6">
        <f>IF(AND(D33&lt;&gt;"",E33&lt;&gt;""),ROUND((E33-D33)*1440,0),"")</f>
        <v/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6">
        <f>IF(C33="착유장",기준값!$B$3,IF(C33="건유·육성우동",기준값!$B$2,""))</f>
        <v/>
      </c>
      <c r="V33" s="6">
        <f>IF(AND(F33&lt;&gt;"",F33&gt;0,U33&lt;&gt;""),ROUND((U33-N(K33))/(F33/60),0),"")</f>
        <v/>
      </c>
      <c r="W33" s="6">
        <f>IF(U33&lt;&gt;"",ROUND(N(K33)/U33*100,1),"")</f>
        <v/>
      </c>
    </row>
    <row r="34">
      <c r="A34" s="3" t="n"/>
      <c r="B34" s="4" t="n"/>
      <c r="C34" s="4" t="n"/>
      <c r="D34" s="5" t="n"/>
      <c r="E34" s="5" t="n"/>
      <c r="F34" s="6">
        <f>IF(AND(D34&lt;&gt;"",E34&lt;&gt;""),ROUND((E34-D34)*1440,0),"")</f>
        <v/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6">
        <f>IF(C34="착유장",기준값!$B$3,IF(C34="건유·육성우동",기준값!$B$2,""))</f>
        <v/>
      </c>
      <c r="V34" s="6">
        <f>IF(AND(F34&lt;&gt;"",F34&gt;0,U34&lt;&gt;""),ROUND((U34-N(K34))/(F34/60),0),"")</f>
        <v/>
      </c>
      <c r="W34" s="6">
        <f>IF(U34&lt;&gt;"",ROUND(N(K34)/U34*100,1),"")</f>
        <v/>
      </c>
    </row>
    <row r="35">
      <c r="A35" s="3" t="n"/>
      <c r="B35" s="4" t="n"/>
      <c r="C35" s="4" t="n"/>
      <c r="D35" s="5" t="n"/>
      <c r="E35" s="5" t="n"/>
      <c r="F35" s="6">
        <f>IF(AND(D35&lt;&gt;"",E35&lt;&gt;""),ROUND((E35-D35)*1440,0),"")</f>
        <v/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6">
        <f>IF(C35="착유장",기준값!$B$3,IF(C35="건유·육성우동",기준값!$B$2,""))</f>
        <v/>
      </c>
      <c r="V35" s="6">
        <f>IF(AND(F35&lt;&gt;"",F35&gt;0,U35&lt;&gt;""),ROUND((U35-N(K35))/(F35/60),0),"")</f>
        <v/>
      </c>
      <c r="W35" s="6">
        <f>IF(U35&lt;&gt;"",ROUND(N(K35)/U35*100,1),"")</f>
        <v/>
      </c>
    </row>
    <row r="36">
      <c r="A36" s="3" t="n"/>
      <c r="B36" s="4" t="n"/>
      <c r="C36" s="4" t="n"/>
      <c r="D36" s="5" t="n"/>
      <c r="E36" s="5" t="n"/>
      <c r="F36" s="6">
        <f>IF(AND(D36&lt;&gt;"",E36&lt;&gt;""),ROUND((E36-D36)*1440,0),"")</f>
        <v/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6">
        <f>IF(C36="착유장",기준값!$B$3,IF(C36="건유·육성우동",기준값!$B$2,""))</f>
        <v/>
      </c>
      <c r="V36" s="6">
        <f>IF(AND(F36&lt;&gt;"",F36&gt;0,U36&lt;&gt;""),ROUND((U36-N(K36))/(F36/60),0),"")</f>
        <v/>
      </c>
      <c r="W36" s="6">
        <f>IF(U36&lt;&gt;"",ROUND(N(K36)/U36*100,1),"")</f>
        <v/>
      </c>
    </row>
    <row r="37">
      <c r="A37" s="3" t="n"/>
      <c r="B37" s="4" t="n"/>
      <c r="C37" s="4" t="n"/>
      <c r="D37" s="5" t="n"/>
      <c r="E37" s="5" t="n"/>
      <c r="F37" s="6">
        <f>IF(AND(D37&lt;&gt;"",E37&lt;&gt;""),ROUND((E37-D37)*1440,0),"")</f>
        <v/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6">
        <f>IF(C37="착유장",기준값!$B$3,IF(C37="건유·육성우동",기준값!$B$2,""))</f>
        <v/>
      </c>
      <c r="V37" s="6">
        <f>IF(AND(F37&lt;&gt;"",F37&gt;0,U37&lt;&gt;""),ROUND((U37-N(K37))/(F37/60),0),"")</f>
        <v/>
      </c>
      <c r="W37" s="6">
        <f>IF(U37&lt;&gt;"",ROUND(N(K37)/U37*100,1),"")</f>
        <v/>
      </c>
    </row>
    <row r="38">
      <c r="A38" s="3" t="n"/>
      <c r="B38" s="4" t="n"/>
      <c r="C38" s="4" t="n"/>
      <c r="D38" s="5" t="n"/>
      <c r="E38" s="5" t="n"/>
      <c r="F38" s="6">
        <f>IF(AND(D38&lt;&gt;"",E38&lt;&gt;""),ROUND((E38-D38)*1440,0),"")</f>
        <v/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6">
        <f>IF(C38="착유장",기준값!$B$3,IF(C38="건유·육성우동",기준값!$B$2,""))</f>
        <v/>
      </c>
      <c r="V38" s="6">
        <f>IF(AND(F38&lt;&gt;"",F38&gt;0,U38&lt;&gt;""),ROUND((U38-N(K38))/(F38/60),0),"")</f>
        <v/>
      </c>
      <c r="W38" s="6">
        <f>IF(U38&lt;&gt;"",ROUND(N(K38)/U38*100,1),"")</f>
        <v/>
      </c>
    </row>
    <row r="39">
      <c r="A39" s="3" t="n"/>
      <c r="B39" s="4" t="n"/>
      <c r="C39" s="4" t="n"/>
      <c r="D39" s="5" t="n"/>
      <c r="E39" s="5" t="n"/>
      <c r="F39" s="6">
        <f>IF(AND(D39&lt;&gt;"",E39&lt;&gt;""),ROUND((E39-D39)*1440,0),"")</f>
        <v/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6">
        <f>IF(C39="착유장",기준값!$B$3,IF(C39="건유·육성우동",기준값!$B$2,""))</f>
        <v/>
      </c>
      <c r="V39" s="6">
        <f>IF(AND(F39&lt;&gt;"",F39&gt;0,U39&lt;&gt;""),ROUND((U39-N(K39))/(F39/60),0),"")</f>
        <v/>
      </c>
      <c r="W39" s="6">
        <f>IF(U39&lt;&gt;"",ROUND(N(K39)/U39*100,1),"")</f>
        <v/>
      </c>
    </row>
    <row r="40">
      <c r="A40" s="3" t="n"/>
      <c r="B40" s="4" t="n"/>
      <c r="C40" s="4" t="n"/>
      <c r="D40" s="5" t="n"/>
      <c r="E40" s="5" t="n"/>
      <c r="F40" s="6">
        <f>IF(AND(D40&lt;&gt;"",E40&lt;&gt;""),ROUND((E40-D40)*1440,0),"")</f>
        <v/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6">
        <f>IF(C40="착유장",기준값!$B$3,IF(C40="건유·육성우동",기준값!$B$2,""))</f>
        <v/>
      </c>
      <c r="V40" s="6">
        <f>IF(AND(F40&lt;&gt;"",F40&gt;0,U40&lt;&gt;""),ROUND((U40-N(K40))/(F40/60),0),"")</f>
        <v/>
      </c>
      <c r="W40" s="6">
        <f>IF(U40&lt;&gt;"",ROUND(N(K40)/U40*100,1),"")</f>
        <v/>
      </c>
    </row>
    <row r="41">
      <c r="A41" s="3" t="n"/>
      <c r="B41" s="4" t="n"/>
      <c r="C41" s="4" t="n"/>
      <c r="D41" s="5" t="n"/>
      <c r="E41" s="5" t="n"/>
      <c r="F41" s="6">
        <f>IF(AND(D41&lt;&gt;"",E41&lt;&gt;""),ROUND((E41-D41)*1440,0),"")</f>
        <v/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6">
        <f>IF(C41="착유장",기준값!$B$3,IF(C41="건유·육성우동",기준값!$B$2,""))</f>
        <v/>
      </c>
      <c r="V41" s="6">
        <f>IF(AND(F41&lt;&gt;"",F41&gt;0,U41&lt;&gt;""),ROUND((U41-N(K41))/(F41/60),0),"")</f>
        <v/>
      </c>
      <c r="W41" s="6">
        <f>IF(U41&lt;&gt;"",ROUND(N(K41)/U41*100,1),"")</f>
        <v/>
      </c>
    </row>
    <row r="42">
      <c r="A42" s="3" t="n"/>
      <c r="B42" s="4" t="n"/>
      <c r="C42" s="4" t="n"/>
      <c r="D42" s="5" t="n"/>
      <c r="E42" s="5" t="n"/>
      <c r="F42" s="6">
        <f>IF(AND(D42&lt;&gt;"",E42&lt;&gt;""),ROUND((E42-D42)*1440,0),"")</f>
        <v/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6">
        <f>IF(C42="착유장",기준값!$B$3,IF(C42="건유·육성우동",기준값!$B$2,""))</f>
        <v/>
      </c>
      <c r="V42" s="6">
        <f>IF(AND(F42&lt;&gt;"",F42&gt;0,U42&lt;&gt;""),ROUND((U42-N(K42))/(F42/60),0),"")</f>
        <v/>
      </c>
      <c r="W42" s="6">
        <f>IF(U42&lt;&gt;"",ROUND(N(K42)/U42*100,1),"")</f>
        <v/>
      </c>
    </row>
    <row r="43">
      <c r="A43" s="3" t="n"/>
      <c r="B43" s="4" t="n"/>
      <c r="C43" s="4" t="n"/>
      <c r="D43" s="5" t="n"/>
      <c r="E43" s="5" t="n"/>
      <c r="F43" s="6">
        <f>IF(AND(D43&lt;&gt;"",E43&lt;&gt;""),ROUND((E43-D43)*1440,0),"")</f>
        <v/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6">
        <f>IF(C43="착유장",기준값!$B$3,IF(C43="건유·육성우동",기준값!$B$2,""))</f>
        <v/>
      </c>
      <c r="V43" s="6">
        <f>IF(AND(F43&lt;&gt;"",F43&gt;0,U43&lt;&gt;""),ROUND((U43-N(K43))/(F43/60),0),"")</f>
        <v/>
      </c>
      <c r="W43" s="6">
        <f>IF(U43&lt;&gt;"",ROUND(N(K43)/U43*100,1),"")</f>
        <v/>
      </c>
    </row>
    <row r="44">
      <c r="A44" s="3" t="n"/>
      <c r="B44" s="4" t="n"/>
      <c r="C44" s="4" t="n"/>
      <c r="D44" s="5" t="n"/>
      <c r="E44" s="5" t="n"/>
      <c r="F44" s="6">
        <f>IF(AND(D44&lt;&gt;"",E44&lt;&gt;""),ROUND((E44-D44)*1440,0),"")</f>
        <v/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6">
        <f>IF(C44="착유장",기준값!$B$3,IF(C44="건유·육성우동",기준값!$B$2,""))</f>
        <v/>
      </c>
      <c r="V44" s="6">
        <f>IF(AND(F44&lt;&gt;"",F44&gt;0,U44&lt;&gt;""),ROUND((U44-N(K44))/(F44/60),0),"")</f>
        <v/>
      </c>
      <c r="W44" s="6">
        <f>IF(U44&lt;&gt;"",ROUND(N(K44)/U44*100,1),"")</f>
        <v/>
      </c>
    </row>
    <row r="45">
      <c r="A45" s="3" t="n"/>
      <c r="B45" s="4" t="n"/>
      <c r="C45" s="4" t="n"/>
      <c r="D45" s="5" t="n"/>
      <c r="E45" s="5" t="n"/>
      <c r="F45" s="6">
        <f>IF(AND(D45&lt;&gt;"",E45&lt;&gt;""),ROUND((E45-D45)*1440,0),"")</f>
        <v/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6">
        <f>IF(C45="착유장",기준값!$B$3,IF(C45="건유·육성우동",기준값!$B$2,""))</f>
        <v/>
      </c>
      <c r="V45" s="6">
        <f>IF(AND(F45&lt;&gt;"",F45&gt;0,U45&lt;&gt;""),ROUND((U45-N(K45))/(F45/60),0),"")</f>
        <v/>
      </c>
      <c r="W45" s="6">
        <f>IF(U45&lt;&gt;"",ROUND(N(K45)/U45*100,1),"")</f>
        <v/>
      </c>
    </row>
    <row r="46">
      <c r="A46" s="3" t="n"/>
      <c r="B46" s="4" t="n"/>
      <c r="C46" s="4" t="n"/>
      <c r="D46" s="5" t="n"/>
      <c r="E46" s="5" t="n"/>
      <c r="F46" s="6">
        <f>IF(AND(D46&lt;&gt;"",E46&lt;&gt;""),ROUND((E46-D46)*1440,0),"")</f>
        <v/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6">
        <f>IF(C46="착유장",기준값!$B$3,IF(C46="건유·육성우동",기준값!$B$2,""))</f>
        <v/>
      </c>
      <c r="V46" s="6">
        <f>IF(AND(F46&lt;&gt;"",F46&gt;0,U46&lt;&gt;""),ROUND((U46-N(K46))/(F46/60),0),"")</f>
        <v/>
      </c>
      <c r="W46" s="6">
        <f>IF(U46&lt;&gt;"",ROUND(N(K46)/U46*100,1),"")</f>
        <v/>
      </c>
    </row>
    <row r="47">
      <c r="A47" s="3" t="n"/>
      <c r="B47" s="4" t="n"/>
      <c r="C47" s="4" t="n"/>
      <c r="D47" s="5" t="n"/>
      <c r="E47" s="5" t="n"/>
      <c r="F47" s="6">
        <f>IF(AND(D47&lt;&gt;"",E47&lt;&gt;""),ROUND((E47-D47)*1440,0),"")</f>
        <v/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6">
        <f>IF(C47="착유장",기준값!$B$3,IF(C47="건유·육성우동",기준값!$B$2,""))</f>
        <v/>
      </c>
      <c r="V47" s="6">
        <f>IF(AND(F47&lt;&gt;"",F47&gt;0,U47&lt;&gt;""),ROUND((U47-N(K47))/(F47/60),0),"")</f>
        <v/>
      </c>
      <c r="W47" s="6">
        <f>IF(U47&lt;&gt;"",ROUND(N(K47)/U47*100,1),"")</f>
        <v/>
      </c>
    </row>
    <row r="48">
      <c r="A48" s="3" t="n"/>
      <c r="B48" s="4" t="n"/>
      <c r="C48" s="4" t="n"/>
      <c r="D48" s="5" t="n"/>
      <c r="E48" s="5" t="n"/>
      <c r="F48" s="6">
        <f>IF(AND(D48&lt;&gt;"",E48&lt;&gt;""),ROUND((E48-D48)*1440,0),"")</f>
        <v/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6">
        <f>IF(C48="착유장",기준값!$B$3,IF(C48="건유·육성우동",기준값!$B$2,""))</f>
        <v/>
      </c>
      <c r="V48" s="6">
        <f>IF(AND(F48&lt;&gt;"",F48&gt;0,U48&lt;&gt;""),ROUND((U48-N(K48))/(F48/60),0),"")</f>
        <v/>
      </c>
      <c r="W48" s="6">
        <f>IF(U48&lt;&gt;"",ROUND(N(K48)/U48*100,1),"")</f>
        <v/>
      </c>
    </row>
    <row r="49">
      <c r="A49" s="3" t="n"/>
      <c r="B49" s="4" t="n"/>
      <c r="C49" s="4" t="n"/>
      <c r="D49" s="5" t="n"/>
      <c r="E49" s="5" t="n"/>
      <c r="F49" s="6">
        <f>IF(AND(D49&lt;&gt;"",E49&lt;&gt;""),ROUND((E49-D49)*1440,0),"")</f>
        <v/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6">
        <f>IF(C49="착유장",기준값!$B$3,IF(C49="건유·육성우동",기준값!$B$2,""))</f>
        <v/>
      </c>
      <c r="V49" s="6">
        <f>IF(AND(F49&lt;&gt;"",F49&gt;0,U49&lt;&gt;""),ROUND((U49-N(K49))/(F49/60),0),"")</f>
        <v/>
      </c>
      <c r="W49" s="6">
        <f>IF(U49&lt;&gt;"",ROUND(N(K49)/U49*100,1),"")</f>
        <v/>
      </c>
    </row>
    <row r="50">
      <c r="A50" s="3" t="n"/>
      <c r="B50" s="4" t="n"/>
      <c r="C50" s="4" t="n"/>
      <c r="D50" s="5" t="n"/>
      <c r="E50" s="5" t="n"/>
      <c r="F50" s="6">
        <f>IF(AND(D50&lt;&gt;"",E50&lt;&gt;""),ROUND((E50-D50)*1440,0),"")</f>
        <v/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6">
        <f>IF(C50="착유장",기준값!$B$3,IF(C50="건유·육성우동",기준값!$B$2,""))</f>
        <v/>
      </c>
      <c r="V50" s="6">
        <f>IF(AND(F50&lt;&gt;"",F50&gt;0,U50&lt;&gt;""),ROUND((U50-N(K50))/(F50/60),0),"")</f>
        <v/>
      </c>
      <c r="W50" s="6">
        <f>IF(U50&lt;&gt;"",ROUND(N(K50)/U50*100,1),"")</f>
        <v/>
      </c>
    </row>
    <row r="51">
      <c r="A51" s="3" t="n"/>
      <c r="B51" s="4" t="n"/>
      <c r="C51" s="4" t="n"/>
      <c r="D51" s="5" t="n"/>
      <c r="E51" s="5" t="n"/>
      <c r="F51" s="6">
        <f>IF(AND(D51&lt;&gt;"",E51&lt;&gt;""),ROUND((E51-D51)*1440,0),"")</f>
        <v/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6">
        <f>IF(C51="착유장",기준값!$B$3,IF(C51="건유·육성우동",기준값!$B$2,""))</f>
        <v/>
      </c>
      <c r="V51" s="6">
        <f>IF(AND(F51&lt;&gt;"",F51&gt;0,U51&lt;&gt;""),ROUND((U51-N(K51))/(F51/60),0),"")</f>
        <v/>
      </c>
      <c r="W51" s="6">
        <f>IF(U51&lt;&gt;"",ROUND(N(K51)/U51*100,1),"")</f>
        <v/>
      </c>
    </row>
    <row r="52">
      <c r="A52" s="3" t="n"/>
      <c r="B52" s="4" t="n"/>
      <c r="C52" s="4" t="n"/>
      <c r="D52" s="5" t="n"/>
      <c r="E52" s="5" t="n"/>
      <c r="F52" s="6">
        <f>IF(AND(D52&lt;&gt;"",E52&lt;&gt;""),ROUND((E52-D52)*1440,0),"")</f>
        <v/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6">
        <f>IF(C52="착유장",기준값!$B$3,IF(C52="건유·육성우동",기준값!$B$2,""))</f>
        <v/>
      </c>
      <c r="V52" s="6">
        <f>IF(AND(F52&lt;&gt;"",F52&gt;0,U52&lt;&gt;""),ROUND((U52-N(K52))/(F52/60),0),"")</f>
        <v/>
      </c>
      <c r="W52" s="6">
        <f>IF(U52&lt;&gt;"",ROUND(N(K52)/U52*100,1),"")</f>
        <v/>
      </c>
    </row>
    <row r="53">
      <c r="A53" s="3" t="n"/>
      <c r="B53" s="4" t="n"/>
      <c r="C53" s="4" t="n"/>
      <c r="D53" s="5" t="n"/>
      <c r="E53" s="5" t="n"/>
      <c r="F53" s="6">
        <f>IF(AND(D53&lt;&gt;"",E53&lt;&gt;""),ROUND((E53-D53)*1440,0),"")</f>
        <v/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6">
        <f>IF(C53="착유장",기준값!$B$3,IF(C53="건유·육성우동",기준값!$B$2,""))</f>
        <v/>
      </c>
      <c r="V53" s="6">
        <f>IF(AND(F53&lt;&gt;"",F53&gt;0,U53&lt;&gt;""),ROUND((U53-N(K53))/(F53/60),0),"")</f>
        <v/>
      </c>
      <c r="W53" s="6">
        <f>IF(U53&lt;&gt;"",ROUND(N(K53)/U53*100,1),"")</f>
        <v/>
      </c>
    </row>
    <row r="54">
      <c r="A54" s="3" t="n"/>
      <c r="B54" s="4" t="n"/>
      <c r="C54" s="4" t="n"/>
      <c r="D54" s="5" t="n"/>
      <c r="E54" s="5" t="n"/>
      <c r="F54" s="6">
        <f>IF(AND(D54&lt;&gt;"",E54&lt;&gt;""),ROUND((E54-D54)*1440,0),"")</f>
        <v/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6">
        <f>IF(C54="착유장",기준값!$B$3,IF(C54="건유·육성우동",기준값!$B$2,""))</f>
        <v/>
      </c>
      <c r="V54" s="6">
        <f>IF(AND(F54&lt;&gt;"",F54&gt;0,U54&lt;&gt;""),ROUND((U54-N(K54))/(F54/60),0),"")</f>
        <v/>
      </c>
      <c r="W54" s="6">
        <f>IF(U54&lt;&gt;"",ROUND(N(K54)/U54*100,1),"")</f>
        <v/>
      </c>
    </row>
    <row r="55">
      <c r="A55" s="3" t="n"/>
      <c r="B55" s="4" t="n"/>
      <c r="C55" s="4" t="n"/>
      <c r="D55" s="5" t="n"/>
      <c r="E55" s="5" t="n"/>
      <c r="F55" s="6">
        <f>IF(AND(D55&lt;&gt;"",E55&lt;&gt;""),ROUND((E55-D55)*1440,0),"")</f>
        <v/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6">
        <f>IF(C55="착유장",기준값!$B$3,IF(C55="건유·육성우동",기준값!$B$2,""))</f>
        <v/>
      </c>
      <c r="V55" s="6">
        <f>IF(AND(F55&lt;&gt;"",F55&gt;0,U55&lt;&gt;""),ROUND((U55-N(K55))/(F55/60),0),"")</f>
        <v/>
      </c>
      <c r="W55" s="6">
        <f>IF(U55&lt;&gt;"",ROUND(N(K55)/U55*100,1),"")</f>
        <v/>
      </c>
    </row>
    <row r="56">
      <c r="A56" s="3" t="n"/>
      <c r="B56" s="4" t="n"/>
      <c r="C56" s="4" t="n"/>
      <c r="D56" s="5" t="n"/>
      <c r="E56" s="5" t="n"/>
      <c r="F56" s="6">
        <f>IF(AND(D56&lt;&gt;"",E56&lt;&gt;""),ROUND((E56-D56)*1440,0),"")</f>
        <v/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6">
        <f>IF(C56="착유장",기준값!$B$3,IF(C56="건유·육성우동",기준값!$B$2,""))</f>
        <v/>
      </c>
      <c r="V56" s="6">
        <f>IF(AND(F56&lt;&gt;"",F56&gt;0,U56&lt;&gt;""),ROUND((U56-N(K56))/(F56/60),0),"")</f>
        <v/>
      </c>
      <c r="W56" s="6">
        <f>IF(U56&lt;&gt;"",ROUND(N(K56)/U56*100,1),"")</f>
        <v/>
      </c>
    </row>
    <row r="57">
      <c r="A57" s="3" t="n"/>
      <c r="B57" s="4" t="n"/>
      <c r="C57" s="4" t="n"/>
      <c r="D57" s="5" t="n"/>
      <c r="E57" s="5" t="n"/>
      <c r="F57" s="6">
        <f>IF(AND(D57&lt;&gt;"",E57&lt;&gt;""),ROUND((E57-D57)*1440,0),"")</f>
        <v/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6">
        <f>IF(C57="착유장",기준값!$B$3,IF(C57="건유·육성우동",기준값!$B$2,""))</f>
        <v/>
      </c>
      <c r="V57" s="6">
        <f>IF(AND(F57&lt;&gt;"",F57&gt;0,U57&lt;&gt;""),ROUND((U57-N(K57))/(F57/60),0),"")</f>
        <v/>
      </c>
      <c r="W57" s="6">
        <f>IF(U57&lt;&gt;"",ROUND(N(K57)/U57*100,1),"")</f>
        <v/>
      </c>
    </row>
    <row r="58">
      <c r="A58" s="3" t="n"/>
      <c r="B58" s="4" t="n"/>
      <c r="C58" s="4" t="n"/>
      <c r="D58" s="5" t="n"/>
      <c r="E58" s="5" t="n"/>
      <c r="F58" s="6">
        <f>IF(AND(D58&lt;&gt;"",E58&lt;&gt;""),ROUND((E58-D58)*1440,0),"")</f>
        <v/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6">
        <f>IF(C58="착유장",기준값!$B$3,IF(C58="건유·육성우동",기준값!$B$2,""))</f>
        <v/>
      </c>
      <c r="V58" s="6">
        <f>IF(AND(F58&lt;&gt;"",F58&gt;0,U58&lt;&gt;""),ROUND((U58-N(K58))/(F58/60),0),"")</f>
        <v/>
      </c>
      <c r="W58" s="6">
        <f>IF(U58&lt;&gt;"",ROUND(N(K58)/U58*100,1),"")</f>
        <v/>
      </c>
    </row>
    <row r="59">
      <c r="A59" s="3" t="n"/>
      <c r="B59" s="4" t="n"/>
      <c r="C59" s="4" t="n"/>
      <c r="D59" s="5" t="n"/>
      <c r="E59" s="5" t="n"/>
      <c r="F59" s="6">
        <f>IF(AND(D59&lt;&gt;"",E59&lt;&gt;""),ROUND((E59-D59)*1440,0),"")</f>
        <v/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6">
        <f>IF(C59="착유장",기준값!$B$3,IF(C59="건유·육성우동",기준값!$B$2,""))</f>
        <v/>
      </c>
      <c r="V59" s="6">
        <f>IF(AND(F59&lt;&gt;"",F59&gt;0,U59&lt;&gt;""),ROUND((U59-N(K59))/(F59/60),0),"")</f>
        <v/>
      </c>
      <c r="W59" s="6">
        <f>IF(U59&lt;&gt;"",ROUND(N(K59)/U59*100,1),"")</f>
        <v/>
      </c>
    </row>
    <row r="60">
      <c r="A60" s="3" t="n"/>
      <c r="B60" s="4" t="n"/>
      <c r="C60" s="4" t="n"/>
      <c r="D60" s="5" t="n"/>
      <c r="E60" s="5" t="n"/>
      <c r="F60" s="6">
        <f>IF(AND(D60&lt;&gt;"",E60&lt;&gt;""),ROUND((E60-D60)*1440,0),"")</f>
        <v/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6">
        <f>IF(C60="착유장",기준값!$B$3,IF(C60="건유·육성우동",기준값!$B$2,""))</f>
        <v/>
      </c>
      <c r="V60" s="6">
        <f>IF(AND(F60&lt;&gt;"",F60&gt;0,U60&lt;&gt;""),ROUND((U60-N(K60))/(F60/60),0),"")</f>
        <v/>
      </c>
      <c r="W60" s="6">
        <f>IF(U60&lt;&gt;"",ROUND(N(K60)/U60*100,1),"")</f>
        <v/>
      </c>
    </row>
    <row r="61">
      <c r="A61" s="3" t="n"/>
      <c r="B61" s="4" t="n"/>
      <c r="C61" s="4" t="n"/>
      <c r="D61" s="5" t="n"/>
      <c r="E61" s="5" t="n"/>
      <c r="F61" s="6">
        <f>IF(AND(D61&lt;&gt;"",E61&lt;&gt;""),ROUND((E61-D61)*1440,0),"")</f>
        <v/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6">
        <f>IF(C61="착유장",기준값!$B$3,IF(C61="건유·육성우동",기준값!$B$2,""))</f>
        <v/>
      </c>
      <c r="V61" s="6">
        <f>IF(AND(F61&lt;&gt;"",F61&gt;0,U61&lt;&gt;""),ROUND((U61-N(K61))/(F61/60),0),"")</f>
        <v/>
      </c>
      <c r="W61" s="6">
        <f>IF(U61&lt;&gt;"",ROUND(N(K61)/U61*100,1),"")</f>
        <v/>
      </c>
    </row>
    <row r="62">
      <c r="A62" s="3" t="n"/>
      <c r="B62" s="4" t="n"/>
      <c r="C62" s="4" t="n"/>
      <c r="D62" s="5" t="n"/>
      <c r="E62" s="5" t="n"/>
      <c r="F62" s="6">
        <f>IF(AND(D62&lt;&gt;"",E62&lt;&gt;""),ROUND((E62-D62)*1440,0),"")</f>
        <v/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6">
        <f>IF(C62="착유장",기준값!$B$3,IF(C62="건유·육성우동",기준값!$B$2,""))</f>
        <v/>
      </c>
      <c r="V62" s="6">
        <f>IF(AND(F62&lt;&gt;"",F62&gt;0,U62&lt;&gt;""),ROUND((U62-N(K62))/(F62/60),0),"")</f>
        <v/>
      </c>
      <c r="W62" s="6">
        <f>IF(U62&lt;&gt;"",ROUND(N(K62)/U62*100,1),"")</f>
        <v/>
      </c>
    </row>
    <row r="63">
      <c r="A63" s="3" t="n"/>
      <c r="B63" s="4" t="n"/>
      <c r="C63" s="4" t="n"/>
      <c r="D63" s="5" t="n"/>
      <c r="E63" s="5" t="n"/>
      <c r="F63" s="6">
        <f>IF(AND(D63&lt;&gt;"",E63&lt;&gt;""),ROUND((E63-D63)*1440,0),"")</f>
        <v/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6">
        <f>IF(C63="착유장",기준값!$B$3,IF(C63="건유·육성우동",기준값!$B$2,""))</f>
        <v/>
      </c>
      <c r="V63" s="6">
        <f>IF(AND(F63&lt;&gt;"",F63&gt;0,U63&lt;&gt;""),ROUND((U63-N(K63))/(F63/60),0),"")</f>
        <v/>
      </c>
      <c r="W63" s="6">
        <f>IF(U63&lt;&gt;"",ROUND(N(K63)/U63*100,1),"")</f>
        <v/>
      </c>
    </row>
    <row r="64">
      <c r="A64" s="3" t="n"/>
      <c r="B64" s="4" t="n"/>
      <c r="C64" s="4" t="n"/>
      <c r="D64" s="5" t="n"/>
      <c r="E64" s="5" t="n"/>
      <c r="F64" s="6">
        <f>IF(AND(D64&lt;&gt;"",E64&lt;&gt;""),ROUND((E64-D64)*1440,0),"")</f>
        <v/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6">
        <f>IF(C64="착유장",기준값!$B$3,IF(C64="건유·육성우동",기준값!$B$2,""))</f>
        <v/>
      </c>
      <c r="V64" s="6">
        <f>IF(AND(F64&lt;&gt;"",F64&gt;0,U64&lt;&gt;""),ROUND((U64-N(K64))/(F64/60),0),"")</f>
        <v/>
      </c>
      <c r="W64" s="6">
        <f>IF(U64&lt;&gt;"",ROUND(N(K64)/U64*100,1),"")</f>
        <v/>
      </c>
    </row>
    <row r="65">
      <c r="A65" s="3" t="n"/>
      <c r="B65" s="4" t="n"/>
      <c r="C65" s="4" t="n"/>
      <c r="D65" s="5" t="n"/>
      <c r="E65" s="5" t="n"/>
      <c r="F65" s="6">
        <f>IF(AND(D65&lt;&gt;"",E65&lt;&gt;""),ROUND((E65-D65)*1440,0),"")</f>
        <v/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6">
        <f>IF(C65="착유장",기준값!$B$3,IF(C65="건유·육성우동",기준값!$B$2,""))</f>
        <v/>
      </c>
      <c r="V65" s="6">
        <f>IF(AND(F65&lt;&gt;"",F65&gt;0,U65&lt;&gt;""),ROUND((U65-N(K65))/(F65/60),0),"")</f>
        <v/>
      </c>
      <c r="W65" s="6">
        <f>IF(U65&lt;&gt;"",ROUND(N(K65)/U65*100,1),"")</f>
        <v/>
      </c>
    </row>
    <row r="66">
      <c r="A66" s="3" t="n"/>
      <c r="B66" s="4" t="n"/>
      <c r="C66" s="4" t="n"/>
      <c r="D66" s="5" t="n"/>
      <c r="E66" s="5" t="n"/>
      <c r="F66" s="6">
        <f>IF(AND(D66&lt;&gt;"",E66&lt;&gt;""),ROUND((E66-D66)*1440,0),"")</f>
        <v/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6">
        <f>IF(C66="착유장",기준값!$B$3,IF(C66="건유·육성우동",기준값!$B$2,""))</f>
        <v/>
      </c>
      <c r="V66" s="6">
        <f>IF(AND(F66&lt;&gt;"",F66&gt;0,U66&lt;&gt;""),ROUND((U66-N(K66))/(F66/60),0),"")</f>
        <v/>
      </c>
      <c r="W66" s="6">
        <f>IF(U66&lt;&gt;"",ROUND(N(K66)/U66*100,1),"")</f>
        <v/>
      </c>
    </row>
    <row r="67">
      <c r="A67" s="3" t="n"/>
      <c r="B67" s="4" t="n"/>
      <c r="C67" s="4" t="n"/>
      <c r="D67" s="5" t="n"/>
      <c r="E67" s="5" t="n"/>
      <c r="F67" s="6">
        <f>IF(AND(D67&lt;&gt;"",E67&lt;&gt;""),ROUND((E67-D67)*1440,0),"")</f>
        <v/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6">
        <f>IF(C67="착유장",기준값!$B$3,IF(C67="건유·육성우동",기준값!$B$2,""))</f>
        <v/>
      </c>
      <c r="V67" s="6">
        <f>IF(AND(F67&lt;&gt;"",F67&gt;0,U67&lt;&gt;""),ROUND((U67-N(K67))/(F67/60),0),"")</f>
        <v/>
      </c>
      <c r="W67" s="6">
        <f>IF(U67&lt;&gt;"",ROUND(N(K67)/U67*100,1),"")</f>
        <v/>
      </c>
    </row>
    <row r="68">
      <c r="A68" s="3" t="n"/>
      <c r="B68" s="4" t="n"/>
      <c r="C68" s="4" t="n"/>
      <c r="D68" s="5" t="n"/>
      <c r="E68" s="5" t="n"/>
      <c r="F68" s="6">
        <f>IF(AND(D68&lt;&gt;"",E68&lt;&gt;""),ROUND((E68-D68)*1440,0),"")</f>
        <v/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6">
        <f>IF(C68="착유장",기준값!$B$3,IF(C68="건유·육성우동",기준값!$B$2,""))</f>
        <v/>
      </c>
      <c r="V68" s="6">
        <f>IF(AND(F68&lt;&gt;"",F68&gt;0,U68&lt;&gt;""),ROUND((U68-N(K68))/(F68/60),0),"")</f>
        <v/>
      </c>
      <c r="W68" s="6">
        <f>IF(U68&lt;&gt;"",ROUND(N(K68)/U68*100,1),"")</f>
        <v/>
      </c>
    </row>
    <row r="69">
      <c r="A69" s="3" t="n"/>
      <c r="B69" s="4" t="n"/>
      <c r="C69" s="4" t="n"/>
      <c r="D69" s="5" t="n"/>
      <c r="E69" s="5" t="n"/>
      <c r="F69" s="6">
        <f>IF(AND(D69&lt;&gt;"",E69&lt;&gt;""),ROUND((E69-D69)*1440,0),"")</f>
        <v/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6">
        <f>IF(C69="착유장",기준값!$B$3,IF(C69="건유·육성우동",기준값!$B$2,""))</f>
        <v/>
      </c>
      <c r="V69" s="6">
        <f>IF(AND(F69&lt;&gt;"",F69&gt;0,U69&lt;&gt;""),ROUND((U69-N(K69))/(F69/60),0),"")</f>
        <v/>
      </c>
      <c r="W69" s="6">
        <f>IF(U69&lt;&gt;"",ROUND(N(K69)/U69*100,1),"")</f>
        <v/>
      </c>
    </row>
    <row r="70">
      <c r="A70" s="3" t="n"/>
      <c r="B70" s="4" t="n"/>
      <c r="C70" s="4" t="n"/>
      <c r="D70" s="5" t="n"/>
      <c r="E70" s="5" t="n"/>
      <c r="F70" s="6">
        <f>IF(AND(D70&lt;&gt;"",E70&lt;&gt;""),ROUND((E70-D70)*1440,0),"")</f>
        <v/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6">
        <f>IF(C70="착유장",기준값!$B$3,IF(C70="건유·육성우동",기준값!$B$2,""))</f>
        <v/>
      </c>
      <c r="V70" s="6">
        <f>IF(AND(F70&lt;&gt;"",F70&gt;0,U70&lt;&gt;""),ROUND((U70-N(K70))/(F70/60),0),"")</f>
        <v/>
      </c>
      <c r="W70" s="6">
        <f>IF(U70&lt;&gt;"",ROUND(N(K70)/U70*100,1),"")</f>
        <v/>
      </c>
    </row>
    <row r="71">
      <c r="A71" s="3" t="n"/>
      <c r="B71" s="4" t="n"/>
      <c r="C71" s="4" t="n"/>
      <c r="D71" s="5" t="n"/>
      <c r="E71" s="5" t="n"/>
      <c r="F71" s="6">
        <f>IF(AND(D71&lt;&gt;"",E71&lt;&gt;""),ROUND((E71-D71)*1440,0),"")</f>
        <v/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6">
        <f>IF(C71="착유장",기준값!$B$3,IF(C71="건유·육성우동",기준값!$B$2,""))</f>
        <v/>
      </c>
      <c r="V71" s="6">
        <f>IF(AND(F71&lt;&gt;"",F71&gt;0,U71&lt;&gt;""),ROUND((U71-N(K71))/(F71/60),0),"")</f>
        <v/>
      </c>
      <c r="W71" s="6">
        <f>IF(U71&lt;&gt;"",ROUND(N(K71)/U71*100,1),"")</f>
        <v/>
      </c>
    </row>
    <row r="72">
      <c r="A72" s="3" t="n"/>
      <c r="B72" s="4" t="n"/>
      <c r="C72" s="4" t="n"/>
      <c r="D72" s="5" t="n"/>
      <c r="E72" s="5" t="n"/>
      <c r="F72" s="6">
        <f>IF(AND(D72&lt;&gt;"",E72&lt;&gt;""),ROUND((E72-D72)*1440,0),"")</f>
        <v/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6">
        <f>IF(C72="착유장",기준값!$B$3,IF(C72="건유·육성우동",기준값!$B$2,""))</f>
        <v/>
      </c>
      <c r="V72" s="6">
        <f>IF(AND(F72&lt;&gt;"",F72&gt;0,U72&lt;&gt;""),ROUND((U72-N(K72))/(F72/60),0),"")</f>
        <v/>
      </c>
      <c r="W72" s="6">
        <f>IF(U72&lt;&gt;"",ROUND(N(K72)/U72*100,1),"")</f>
        <v/>
      </c>
    </row>
    <row r="73">
      <c r="A73" s="3" t="n"/>
      <c r="B73" s="4" t="n"/>
      <c r="C73" s="4" t="n"/>
      <c r="D73" s="5" t="n"/>
      <c r="E73" s="5" t="n"/>
      <c r="F73" s="6">
        <f>IF(AND(D73&lt;&gt;"",E73&lt;&gt;""),ROUND((E73-D73)*1440,0),"")</f>
        <v/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6">
        <f>IF(C73="착유장",기준값!$B$3,IF(C73="건유·육성우동",기준값!$B$2,""))</f>
        <v/>
      </c>
      <c r="V73" s="6">
        <f>IF(AND(F73&lt;&gt;"",F73&gt;0,U73&lt;&gt;""),ROUND((U73-N(K73))/(F73/60),0),"")</f>
        <v/>
      </c>
      <c r="W73" s="6">
        <f>IF(U73&lt;&gt;"",ROUND(N(K73)/U73*100,1),"")</f>
        <v/>
      </c>
    </row>
    <row r="74">
      <c r="A74" s="3" t="n"/>
      <c r="B74" s="4" t="n"/>
      <c r="C74" s="4" t="n"/>
      <c r="D74" s="5" t="n"/>
      <c r="E74" s="5" t="n"/>
      <c r="F74" s="6">
        <f>IF(AND(D74&lt;&gt;"",E74&lt;&gt;""),ROUND((E74-D74)*1440,0),"")</f>
        <v/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6">
        <f>IF(C74="착유장",기준값!$B$3,IF(C74="건유·육성우동",기준값!$B$2,""))</f>
        <v/>
      </c>
      <c r="V74" s="6">
        <f>IF(AND(F74&lt;&gt;"",F74&gt;0,U74&lt;&gt;""),ROUND((U74-N(K74))/(F74/60),0),"")</f>
        <v/>
      </c>
      <c r="W74" s="6">
        <f>IF(U74&lt;&gt;"",ROUND(N(K74)/U74*100,1),"")</f>
        <v/>
      </c>
    </row>
    <row r="75">
      <c r="A75" s="3" t="n"/>
      <c r="B75" s="4" t="n"/>
      <c r="C75" s="4" t="n"/>
      <c r="D75" s="5" t="n"/>
      <c r="E75" s="5" t="n"/>
      <c r="F75" s="6">
        <f>IF(AND(D75&lt;&gt;"",E75&lt;&gt;""),ROUND((E75-D75)*1440,0),"")</f>
        <v/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6">
        <f>IF(C75="착유장",기준값!$B$3,IF(C75="건유·육성우동",기준값!$B$2,""))</f>
        <v/>
      </c>
      <c r="V75" s="6">
        <f>IF(AND(F75&lt;&gt;"",F75&gt;0,U75&lt;&gt;""),ROUND((U75-N(K75))/(F75/60),0),"")</f>
        <v/>
      </c>
      <c r="W75" s="6">
        <f>IF(U75&lt;&gt;"",ROUND(N(K75)/U75*100,1),"")</f>
        <v/>
      </c>
    </row>
    <row r="76">
      <c r="A76" s="3" t="n"/>
      <c r="B76" s="4" t="n"/>
      <c r="C76" s="4" t="n"/>
      <c r="D76" s="5" t="n"/>
      <c r="E76" s="5" t="n"/>
      <c r="F76" s="6">
        <f>IF(AND(D76&lt;&gt;"",E76&lt;&gt;""),ROUND((E76-D76)*1440,0),"")</f>
        <v/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6">
        <f>IF(C76="착유장",기준값!$B$3,IF(C76="건유·육성우동",기준값!$B$2,""))</f>
        <v/>
      </c>
      <c r="V76" s="6">
        <f>IF(AND(F76&lt;&gt;"",F76&gt;0,U76&lt;&gt;""),ROUND((U76-N(K76))/(F76/60),0),"")</f>
        <v/>
      </c>
      <c r="W76" s="6">
        <f>IF(U76&lt;&gt;"",ROUND(N(K76)/U76*100,1),"")</f>
        <v/>
      </c>
    </row>
    <row r="77">
      <c r="A77" s="3" t="n"/>
      <c r="B77" s="4" t="n"/>
      <c r="C77" s="4" t="n"/>
      <c r="D77" s="5" t="n"/>
      <c r="E77" s="5" t="n"/>
      <c r="F77" s="6">
        <f>IF(AND(D77&lt;&gt;"",E77&lt;&gt;""),ROUND((E77-D77)*1440,0),"")</f>
        <v/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6">
        <f>IF(C77="착유장",기준값!$B$3,IF(C77="건유·육성우동",기준값!$B$2,""))</f>
        <v/>
      </c>
      <c r="V77" s="6">
        <f>IF(AND(F77&lt;&gt;"",F77&gt;0,U77&lt;&gt;""),ROUND((U77-N(K77))/(F77/60),0),"")</f>
        <v/>
      </c>
      <c r="W77" s="6">
        <f>IF(U77&lt;&gt;"",ROUND(N(K77)/U77*100,1),"")</f>
        <v/>
      </c>
    </row>
    <row r="78">
      <c r="A78" s="3" t="n"/>
      <c r="B78" s="4" t="n"/>
      <c r="C78" s="4" t="n"/>
      <c r="D78" s="5" t="n"/>
      <c r="E78" s="5" t="n"/>
      <c r="F78" s="6">
        <f>IF(AND(D78&lt;&gt;"",E78&lt;&gt;""),ROUND((E78-D78)*1440,0),"")</f>
        <v/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6">
        <f>IF(C78="착유장",기준값!$B$3,IF(C78="건유·육성우동",기준값!$B$2,""))</f>
        <v/>
      </c>
      <c r="V78" s="6">
        <f>IF(AND(F78&lt;&gt;"",F78&gt;0,U78&lt;&gt;""),ROUND((U78-N(K78))/(F78/60),0),"")</f>
        <v/>
      </c>
      <c r="W78" s="6">
        <f>IF(U78&lt;&gt;"",ROUND(N(K78)/U78*100,1),"")</f>
        <v/>
      </c>
    </row>
    <row r="79">
      <c r="A79" s="3" t="n"/>
      <c r="B79" s="4" t="n"/>
      <c r="C79" s="4" t="n"/>
      <c r="D79" s="5" t="n"/>
      <c r="E79" s="5" t="n"/>
      <c r="F79" s="6">
        <f>IF(AND(D79&lt;&gt;"",E79&lt;&gt;""),ROUND((E79-D79)*1440,0),"")</f>
        <v/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6">
        <f>IF(C79="착유장",기준값!$B$3,IF(C79="건유·육성우동",기준값!$B$2,""))</f>
        <v/>
      </c>
      <c r="V79" s="6">
        <f>IF(AND(F79&lt;&gt;"",F79&gt;0,U79&lt;&gt;""),ROUND((U79-N(K79))/(F79/60),0),"")</f>
        <v/>
      </c>
      <c r="W79" s="6">
        <f>IF(U79&lt;&gt;"",ROUND(N(K79)/U79*100,1),"")</f>
        <v/>
      </c>
    </row>
    <row r="80">
      <c r="A80" s="3" t="n"/>
      <c r="B80" s="4" t="n"/>
      <c r="C80" s="4" t="n"/>
      <c r="D80" s="5" t="n"/>
      <c r="E80" s="5" t="n"/>
      <c r="F80" s="6">
        <f>IF(AND(D80&lt;&gt;"",E80&lt;&gt;""),ROUND((E80-D80)*1440,0),"")</f>
        <v/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6">
        <f>IF(C80="착유장",기준값!$B$3,IF(C80="건유·육성우동",기준값!$B$2,""))</f>
        <v/>
      </c>
      <c r="V80" s="6">
        <f>IF(AND(F80&lt;&gt;"",F80&gt;0,U80&lt;&gt;""),ROUND((U80-N(K80))/(F80/60),0),"")</f>
        <v/>
      </c>
      <c r="W80" s="6">
        <f>IF(U80&lt;&gt;"",ROUND(N(K80)/U80*100,1),"")</f>
        <v/>
      </c>
    </row>
    <row r="81">
      <c r="A81" s="3" t="n"/>
      <c r="B81" s="4" t="n"/>
      <c r="C81" s="4" t="n"/>
      <c r="D81" s="5" t="n"/>
      <c r="E81" s="5" t="n"/>
      <c r="F81" s="6">
        <f>IF(AND(D81&lt;&gt;"",E81&lt;&gt;""),ROUND((E81-D81)*1440,0),"")</f>
        <v/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6">
        <f>IF(C81="착유장",기준값!$B$3,IF(C81="건유·육성우동",기준값!$B$2,""))</f>
        <v/>
      </c>
      <c r="V81" s="6">
        <f>IF(AND(F81&lt;&gt;"",F81&gt;0,U81&lt;&gt;""),ROUND((U81-N(K81))/(F81/60),0),"")</f>
        <v/>
      </c>
      <c r="W81" s="6">
        <f>IF(U81&lt;&gt;"",ROUND(N(K81)/U81*100,1),"")</f>
        <v/>
      </c>
    </row>
    <row r="82">
      <c r="A82" s="3" t="n"/>
      <c r="B82" s="4" t="n"/>
      <c r="C82" s="4" t="n"/>
      <c r="D82" s="5" t="n"/>
      <c r="E82" s="5" t="n"/>
      <c r="F82" s="6">
        <f>IF(AND(D82&lt;&gt;"",E82&lt;&gt;""),ROUND((E82-D82)*1440,0),"")</f>
        <v/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6">
        <f>IF(C82="착유장",기준값!$B$3,IF(C82="건유·육성우동",기준값!$B$2,""))</f>
        <v/>
      </c>
      <c r="V82" s="6">
        <f>IF(AND(F82&lt;&gt;"",F82&gt;0,U82&lt;&gt;""),ROUND((U82-N(K82))/(F82/60),0),"")</f>
        <v/>
      </c>
      <c r="W82" s="6">
        <f>IF(U82&lt;&gt;"",ROUND(N(K82)/U82*100,1),"")</f>
        <v/>
      </c>
    </row>
    <row r="83">
      <c r="A83" s="3" t="n"/>
      <c r="B83" s="4" t="n"/>
      <c r="C83" s="4" t="n"/>
      <c r="D83" s="5" t="n"/>
      <c r="E83" s="5" t="n"/>
      <c r="F83" s="6">
        <f>IF(AND(D83&lt;&gt;"",E83&lt;&gt;""),ROUND((E83-D83)*1440,0),"")</f>
        <v/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6">
        <f>IF(C83="착유장",기준값!$B$3,IF(C83="건유·육성우동",기준값!$B$2,""))</f>
        <v/>
      </c>
      <c r="V83" s="6">
        <f>IF(AND(F83&lt;&gt;"",F83&gt;0,U83&lt;&gt;""),ROUND((U83-N(K83))/(F83/60),0),"")</f>
        <v/>
      </c>
      <c r="W83" s="6">
        <f>IF(U83&lt;&gt;"",ROUND(N(K83)/U83*100,1),"")</f>
        <v/>
      </c>
    </row>
    <row r="84">
      <c r="A84" s="3" t="n"/>
      <c r="B84" s="4" t="n"/>
      <c r="C84" s="4" t="n"/>
      <c r="D84" s="5" t="n"/>
      <c r="E84" s="5" t="n"/>
      <c r="F84" s="6">
        <f>IF(AND(D84&lt;&gt;"",E84&lt;&gt;""),ROUND((E84-D84)*1440,0),"")</f>
        <v/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6">
        <f>IF(C84="착유장",기준값!$B$3,IF(C84="건유·육성우동",기준값!$B$2,""))</f>
        <v/>
      </c>
      <c r="V84" s="6">
        <f>IF(AND(F84&lt;&gt;"",F84&gt;0,U84&lt;&gt;""),ROUND((U84-N(K84))/(F84/60),0),"")</f>
        <v/>
      </c>
      <c r="W84" s="6">
        <f>IF(U84&lt;&gt;"",ROUND(N(K84)/U84*100,1),"")</f>
        <v/>
      </c>
    </row>
    <row r="85">
      <c r="A85" s="3" t="n"/>
      <c r="B85" s="4" t="n"/>
      <c r="C85" s="4" t="n"/>
      <c r="D85" s="5" t="n"/>
      <c r="E85" s="5" t="n"/>
      <c r="F85" s="6">
        <f>IF(AND(D85&lt;&gt;"",E85&lt;&gt;""),ROUND((E85-D85)*1440,0),"")</f>
        <v/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6">
        <f>IF(C85="착유장",기준값!$B$3,IF(C85="건유·육성우동",기준값!$B$2,""))</f>
        <v/>
      </c>
      <c r="V85" s="6">
        <f>IF(AND(F85&lt;&gt;"",F85&gt;0,U85&lt;&gt;""),ROUND((U85-N(K85))/(F85/60),0),"")</f>
        <v/>
      </c>
      <c r="W85" s="6">
        <f>IF(U85&lt;&gt;"",ROUND(N(K85)/U85*100,1),"")</f>
        <v/>
      </c>
    </row>
    <row r="86">
      <c r="A86" s="3" t="n"/>
      <c r="B86" s="4" t="n"/>
      <c r="C86" s="4" t="n"/>
      <c r="D86" s="5" t="n"/>
      <c r="E86" s="5" t="n"/>
      <c r="F86" s="6">
        <f>IF(AND(D86&lt;&gt;"",E86&lt;&gt;""),ROUND((E86-D86)*1440,0),"")</f>
        <v/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6">
        <f>IF(C86="착유장",기준값!$B$3,IF(C86="건유·육성우동",기준값!$B$2,""))</f>
        <v/>
      </c>
      <c r="V86" s="6">
        <f>IF(AND(F86&lt;&gt;"",F86&gt;0,U86&lt;&gt;""),ROUND((U86-N(K86))/(F86/60),0),"")</f>
        <v/>
      </c>
      <c r="W86" s="6">
        <f>IF(U86&lt;&gt;"",ROUND(N(K86)/U86*100,1),"")</f>
        <v/>
      </c>
    </row>
    <row r="87">
      <c r="A87" s="3" t="n"/>
      <c r="B87" s="4" t="n"/>
      <c r="C87" s="4" t="n"/>
      <c r="D87" s="5" t="n"/>
      <c r="E87" s="5" t="n"/>
      <c r="F87" s="6">
        <f>IF(AND(D87&lt;&gt;"",E87&lt;&gt;""),ROUND((E87-D87)*1440,0),"")</f>
        <v/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6">
        <f>IF(C87="착유장",기준값!$B$3,IF(C87="건유·육성우동",기준값!$B$2,""))</f>
        <v/>
      </c>
      <c r="V87" s="6">
        <f>IF(AND(F87&lt;&gt;"",F87&gt;0,U87&lt;&gt;""),ROUND((U87-N(K87))/(F87/60),0),"")</f>
        <v/>
      </c>
      <c r="W87" s="6">
        <f>IF(U87&lt;&gt;"",ROUND(N(K87)/U87*100,1),"")</f>
        <v/>
      </c>
    </row>
    <row r="88">
      <c r="A88" s="3" t="n"/>
      <c r="B88" s="4" t="n"/>
      <c r="C88" s="4" t="n"/>
      <c r="D88" s="5" t="n"/>
      <c r="E88" s="5" t="n"/>
      <c r="F88" s="6">
        <f>IF(AND(D88&lt;&gt;"",E88&lt;&gt;""),ROUND((E88-D88)*1440,0),"")</f>
        <v/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6">
        <f>IF(C88="착유장",기준값!$B$3,IF(C88="건유·육성우동",기준값!$B$2,""))</f>
        <v/>
      </c>
      <c r="V88" s="6">
        <f>IF(AND(F88&lt;&gt;"",F88&gt;0,U88&lt;&gt;""),ROUND((U88-N(K88))/(F88/60),0),"")</f>
        <v/>
      </c>
      <c r="W88" s="6">
        <f>IF(U88&lt;&gt;"",ROUND(N(K88)/U88*100,1),"")</f>
        <v/>
      </c>
    </row>
    <row r="89">
      <c r="A89" s="3" t="n"/>
      <c r="B89" s="4" t="n"/>
      <c r="C89" s="4" t="n"/>
      <c r="D89" s="5" t="n"/>
      <c r="E89" s="5" t="n"/>
      <c r="F89" s="6">
        <f>IF(AND(D89&lt;&gt;"",E89&lt;&gt;""),ROUND((E89-D89)*1440,0),"")</f>
        <v/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6">
        <f>IF(C89="착유장",기준값!$B$3,IF(C89="건유·육성우동",기준값!$B$2,""))</f>
        <v/>
      </c>
      <c r="V89" s="6">
        <f>IF(AND(F89&lt;&gt;"",F89&gt;0,U89&lt;&gt;""),ROUND((U89-N(K89))/(F89/60),0),"")</f>
        <v/>
      </c>
      <c r="W89" s="6">
        <f>IF(U89&lt;&gt;"",ROUND(N(K89)/U89*100,1),"")</f>
        <v/>
      </c>
    </row>
    <row r="90">
      <c r="A90" s="3" t="n"/>
      <c r="B90" s="4" t="n"/>
      <c r="C90" s="4" t="n"/>
      <c r="D90" s="5" t="n"/>
      <c r="E90" s="5" t="n"/>
      <c r="F90" s="6">
        <f>IF(AND(D90&lt;&gt;"",E90&lt;&gt;""),ROUND((E90-D90)*1440,0),"")</f>
        <v/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6">
        <f>IF(C90="착유장",기준값!$B$3,IF(C90="건유·육성우동",기준값!$B$2,""))</f>
        <v/>
      </c>
      <c r="V90" s="6">
        <f>IF(AND(F90&lt;&gt;"",F90&gt;0,U90&lt;&gt;""),ROUND((U90-N(K90))/(F90/60),0),"")</f>
        <v/>
      </c>
      <c r="W90" s="6">
        <f>IF(U90&lt;&gt;"",ROUND(N(K90)/U90*100,1),"")</f>
        <v/>
      </c>
    </row>
    <row r="91">
      <c r="A91" s="3" t="n"/>
      <c r="B91" s="4" t="n"/>
      <c r="C91" s="4" t="n"/>
      <c r="D91" s="5" t="n"/>
      <c r="E91" s="5" t="n"/>
      <c r="F91" s="6">
        <f>IF(AND(D91&lt;&gt;"",E91&lt;&gt;""),ROUND((E91-D91)*1440,0),"")</f>
        <v/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6">
        <f>IF(C91="착유장",기준값!$B$3,IF(C91="건유·육성우동",기준값!$B$2,""))</f>
        <v/>
      </c>
      <c r="V91" s="6">
        <f>IF(AND(F91&lt;&gt;"",F91&gt;0,U91&lt;&gt;""),ROUND((U91-N(K91))/(F91/60),0),"")</f>
        <v/>
      </c>
      <c r="W91" s="6">
        <f>IF(U91&lt;&gt;"",ROUND(N(K91)/U91*100,1),"")</f>
        <v/>
      </c>
    </row>
    <row r="92">
      <c r="A92" s="3" t="n"/>
      <c r="B92" s="4" t="n"/>
      <c r="C92" s="4" t="n"/>
      <c r="D92" s="5" t="n"/>
      <c r="E92" s="5" t="n"/>
      <c r="F92" s="6">
        <f>IF(AND(D92&lt;&gt;"",E92&lt;&gt;""),ROUND((E92-D92)*1440,0),"")</f>
        <v/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6">
        <f>IF(C92="착유장",기준값!$B$3,IF(C92="건유·육성우동",기준값!$B$2,""))</f>
        <v/>
      </c>
      <c r="V92" s="6">
        <f>IF(AND(F92&lt;&gt;"",F92&gt;0,U92&lt;&gt;""),ROUND((U92-N(K92))/(F92/60),0),"")</f>
        <v/>
      </c>
      <c r="W92" s="6">
        <f>IF(U92&lt;&gt;"",ROUND(N(K92)/U92*100,1),"")</f>
        <v/>
      </c>
    </row>
    <row r="93">
      <c r="A93" s="3" t="n"/>
      <c r="B93" s="4" t="n"/>
      <c r="C93" s="4" t="n"/>
      <c r="D93" s="5" t="n"/>
      <c r="E93" s="5" t="n"/>
      <c r="F93" s="6">
        <f>IF(AND(D93&lt;&gt;"",E93&lt;&gt;""),ROUND((E93-D93)*1440,0),"")</f>
        <v/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6">
        <f>IF(C93="착유장",기준값!$B$3,IF(C93="건유·육성우동",기준값!$B$2,""))</f>
        <v/>
      </c>
      <c r="V93" s="6">
        <f>IF(AND(F93&lt;&gt;"",F93&gt;0,U93&lt;&gt;""),ROUND((U93-N(K93))/(F93/60),0),"")</f>
        <v/>
      </c>
      <c r="W93" s="6">
        <f>IF(U93&lt;&gt;"",ROUND(N(K93)/U93*100,1),"")</f>
        <v/>
      </c>
    </row>
    <row r="94">
      <c r="A94" s="3" t="n"/>
      <c r="B94" s="4" t="n"/>
      <c r="C94" s="4" t="n"/>
      <c r="D94" s="5" t="n"/>
      <c r="E94" s="5" t="n"/>
      <c r="F94" s="6">
        <f>IF(AND(D94&lt;&gt;"",E94&lt;&gt;""),ROUND((E94-D94)*1440,0),"")</f>
        <v/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6">
        <f>IF(C94="착유장",기준값!$B$3,IF(C94="건유·육성우동",기준값!$B$2,""))</f>
        <v/>
      </c>
      <c r="V94" s="6">
        <f>IF(AND(F94&lt;&gt;"",F94&gt;0,U94&lt;&gt;""),ROUND((U94-N(K94))/(F94/60),0),"")</f>
        <v/>
      </c>
      <c r="W94" s="6">
        <f>IF(U94&lt;&gt;"",ROUND(N(K94)/U94*100,1),"")</f>
        <v/>
      </c>
    </row>
    <row r="95">
      <c r="A95" s="3" t="n"/>
      <c r="B95" s="4" t="n"/>
      <c r="C95" s="4" t="n"/>
      <c r="D95" s="5" t="n"/>
      <c r="E95" s="5" t="n"/>
      <c r="F95" s="6">
        <f>IF(AND(D95&lt;&gt;"",E95&lt;&gt;""),ROUND((E95-D95)*1440,0),"")</f>
        <v/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6">
        <f>IF(C95="착유장",기준값!$B$3,IF(C95="건유·육성우동",기준값!$B$2,""))</f>
        <v/>
      </c>
      <c r="V95" s="6">
        <f>IF(AND(F95&lt;&gt;"",F95&gt;0,U95&lt;&gt;""),ROUND((U95-N(K95))/(F95/60),0),"")</f>
        <v/>
      </c>
      <c r="W95" s="6">
        <f>IF(U95&lt;&gt;"",ROUND(N(K95)/U95*100,1),"")</f>
        <v/>
      </c>
    </row>
    <row r="96">
      <c r="A96" s="3" t="n"/>
      <c r="B96" s="4" t="n"/>
      <c r="C96" s="4" t="n"/>
      <c r="D96" s="5" t="n"/>
      <c r="E96" s="5" t="n"/>
      <c r="F96" s="6">
        <f>IF(AND(D96&lt;&gt;"",E96&lt;&gt;""),ROUND((E96-D96)*1440,0),"")</f>
        <v/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6">
        <f>IF(C96="착유장",기준값!$B$3,IF(C96="건유·육성우동",기준값!$B$2,""))</f>
        <v/>
      </c>
      <c r="V96" s="6">
        <f>IF(AND(F96&lt;&gt;"",F96&gt;0,U96&lt;&gt;""),ROUND((U96-N(K96))/(F96/60),0),"")</f>
        <v/>
      </c>
      <c r="W96" s="6">
        <f>IF(U96&lt;&gt;"",ROUND(N(K96)/U96*100,1),"")</f>
        <v/>
      </c>
    </row>
    <row r="97">
      <c r="A97" s="3" t="n"/>
      <c r="B97" s="4" t="n"/>
      <c r="C97" s="4" t="n"/>
      <c r="D97" s="5" t="n"/>
      <c r="E97" s="5" t="n"/>
      <c r="F97" s="6">
        <f>IF(AND(D97&lt;&gt;"",E97&lt;&gt;""),ROUND((E97-D97)*1440,0),"")</f>
        <v/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6">
        <f>IF(C97="착유장",기준값!$B$3,IF(C97="건유·육성우동",기준값!$B$2,""))</f>
        <v/>
      </c>
      <c r="V97" s="6">
        <f>IF(AND(F97&lt;&gt;"",F97&gt;0,U97&lt;&gt;""),ROUND((U97-N(K97))/(F97/60),0),"")</f>
        <v/>
      </c>
      <c r="W97" s="6">
        <f>IF(U97&lt;&gt;"",ROUND(N(K97)/U97*100,1),"")</f>
        <v/>
      </c>
    </row>
    <row r="98">
      <c r="A98" s="3" t="n"/>
      <c r="B98" s="4" t="n"/>
      <c r="C98" s="4" t="n"/>
      <c r="D98" s="5" t="n"/>
      <c r="E98" s="5" t="n"/>
      <c r="F98" s="6">
        <f>IF(AND(D98&lt;&gt;"",E98&lt;&gt;""),ROUND((E98-D98)*1440,0),"")</f>
        <v/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6">
        <f>IF(C98="착유장",기준값!$B$3,IF(C98="건유·육성우동",기준값!$B$2,""))</f>
        <v/>
      </c>
      <c r="V98" s="6">
        <f>IF(AND(F98&lt;&gt;"",F98&gt;0,U98&lt;&gt;""),ROUND((U98-N(K98))/(F98/60),0),"")</f>
        <v/>
      </c>
      <c r="W98" s="6">
        <f>IF(U98&lt;&gt;"",ROUND(N(K98)/U98*100,1),"")</f>
        <v/>
      </c>
    </row>
    <row r="99">
      <c r="A99" s="3" t="n"/>
      <c r="B99" s="4" t="n"/>
      <c r="C99" s="4" t="n"/>
      <c r="D99" s="5" t="n"/>
      <c r="E99" s="5" t="n"/>
      <c r="F99" s="6">
        <f>IF(AND(D99&lt;&gt;"",E99&lt;&gt;""),ROUND((E99-D99)*1440,0),"")</f>
        <v/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6">
        <f>IF(C99="착유장",기준값!$B$3,IF(C99="건유·육성우동",기준값!$B$2,""))</f>
        <v/>
      </c>
      <c r="V99" s="6">
        <f>IF(AND(F99&lt;&gt;"",F99&gt;0,U99&lt;&gt;""),ROUND((U99-N(K99))/(F99/60),0),"")</f>
        <v/>
      </c>
      <c r="W99" s="6">
        <f>IF(U99&lt;&gt;"",ROUND(N(K99)/U99*100,1),"")</f>
        <v/>
      </c>
    </row>
    <row r="100">
      <c r="A100" s="3" t="n"/>
      <c r="B100" s="4" t="n"/>
      <c r="C100" s="4" t="n"/>
      <c r="D100" s="5" t="n"/>
      <c r="E100" s="5" t="n"/>
      <c r="F100" s="6">
        <f>IF(AND(D100&lt;&gt;"",E100&lt;&gt;""),ROUND((E100-D100)*1440,0),"")</f>
        <v/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6">
        <f>IF(C100="착유장",기준값!$B$3,IF(C100="건유·육성우동",기준값!$B$2,""))</f>
        <v/>
      </c>
      <c r="V100" s="6">
        <f>IF(AND(F100&lt;&gt;"",F100&gt;0,U100&lt;&gt;""),ROUND((U100-N(K100))/(F100/60),0),"")</f>
        <v/>
      </c>
      <c r="W100" s="6">
        <f>IF(U100&lt;&gt;"",ROUND(N(K100)/U100*100,1),"")</f>
        <v/>
      </c>
    </row>
    <row r="101">
      <c r="A101" s="3" t="n"/>
      <c r="B101" s="4" t="n"/>
      <c r="C101" s="4" t="n"/>
      <c r="D101" s="5" t="n"/>
      <c r="E101" s="5" t="n"/>
      <c r="F101" s="6">
        <f>IF(AND(D101&lt;&gt;"",E101&lt;&gt;""),ROUND((E101-D101)*1440,0),"")</f>
        <v/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6">
        <f>IF(C101="착유장",기준값!$B$3,IF(C101="건유·육성우동",기준값!$B$2,""))</f>
        <v/>
      </c>
      <c r="V101" s="6">
        <f>IF(AND(F101&lt;&gt;"",F101&gt;0,U101&lt;&gt;""),ROUND((U101-N(K101))/(F101/60),0),"")</f>
        <v/>
      </c>
      <c r="W101" s="6">
        <f>IF(U101&lt;&gt;"",ROUND(N(K101)/U101*100,1),"")</f>
        <v/>
      </c>
    </row>
    <row r="102">
      <c r="A102" s="3" t="n"/>
      <c r="B102" s="4" t="n"/>
      <c r="C102" s="4" t="n"/>
      <c r="D102" s="5" t="n"/>
      <c r="E102" s="5" t="n"/>
      <c r="F102" s="6">
        <f>IF(AND(D102&lt;&gt;"",E102&lt;&gt;""),ROUND((E102-D102)*1440,0),"")</f>
        <v/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6">
        <f>IF(C102="착유장",기준값!$B$3,IF(C102="건유·육성우동",기준값!$B$2,""))</f>
        <v/>
      </c>
      <c r="V102" s="6">
        <f>IF(AND(F102&lt;&gt;"",F102&gt;0,U102&lt;&gt;""),ROUND((U102-N(K102))/(F102/60),0),"")</f>
        <v/>
      </c>
      <c r="W102" s="6">
        <f>IF(U102&lt;&gt;"",ROUND(N(K102)/U102*100,1),"")</f>
        <v/>
      </c>
    </row>
    <row r="103">
      <c r="A103" s="3" t="n"/>
      <c r="B103" s="4" t="n"/>
      <c r="C103" s="4" t="n"/>
      <c r="D103" s="5" t="n"/>
      <c r="E103" s="5" t="n"/>
      <c r="F103" s="6">
        <f>IF(AND(D103&lt;&gt;"",E103&lt;&gt;""),ROUND((E103-D103)*1440,0),"")</f>
        <v/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6">
        <f>IF(C103="착유장",기준값!$B$3,IF(C103="건유·육성우동",기준값!$B$2,""))</f>
        <v/>
      </c>
      <c r="V103" s="6">
        <f>IF(AND(F103&lt;&gt;"",F103&gt;0,U103&lt;&gt;""),ROUND((U103-N(K103))/(F103/60),0),"")</f>
        <v/>
      </c>
      <c r="W103" s="6">
        <f>IF(U103&lt;&gt;"",ROUND(N(K103)/U103*100,1),"")</f>
        <v/>
      </c>
    </row>
    <row r="104">
      <c r="A104" s="3" t="n"/>
      <c r="B104" s="4" t="n"/>
      <c r="C104" s="4" t="n"/>
      <c r="D104" s="5" t="n"/>
      <c r="E104" s="5" t="n"/>
      <c r="F104" s="6">
        <f>IF(AND(D104&lt;&gt;"",E104&lt;&gt;""),ROUND((E104-D104)*1440,0),"")</f>
        <v/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6">
        <f>IF(C104="착유장",기준값!$B$3,IF(C104="건유·육성우동",기준값!$B$2,""))</f>
        <v/>
      </c>
      <c r="V104" s="6">
        <f>IF(AND(F104&lt;&gt;"",F104&gt;0,U104&lt;&gt;""),ROUND((U104-N(K104))/(F104/60),0),"")</f>
        <v/>
      </c>
      <c r="W104" s="6">
        <f>IF(U104&lt;&gt;"",ROUND(N(K104)/U104*100,1),"")</f>
        <v/>
      </c>
    </row>
    <row r="105">
      <c r="A105" s="3" t="n"/>
      <c r="B105" s="4" t="n"/>
      <c r="C105" s="4" t="n"/>
      <c r="D105" s="5" t="n"/>
      <c r="E105" s="5" t="n"/>
      <c r="F105" s="6">
        <f>IF(AND(D105&lt;&gt;"",E105&lt;&gt;""),ROUND((E105-D105)*1440,0),"")</f>
        <v/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6">
        <f>IF(C105="착유장",기준값!$B$3,IF(C105="건유·육성우동",기준값!$B$2,""))</f>
        <v/>
      </c>
      <c r="V105" s="6">
        <f>IF(AND(F105&lt;&gt;"",F105&gt;0,U105&lt;&gt;""),ROUND((U105-N(K105))/(F105/60),0),"")</f>
        <v/>
      </c>
      <c r="W105" s="6">
        <f>IF(U105&lt;&gt;"",ROUND(N(K105)/U105*100,1),"")</f>
        <v/>
      </c>
    </row>
    <row r="106">
      <c r="A106" s="3" t="n"/>
      <c r="B106" s="4" t="n"/>
      <c r="C106" s="4" t="n"/>
      <c r="D106" s="5" t="n"/>
      <c r="E106" s="5" t="n"/>
      <c r="F106" s="6">
        <f>IF(AND(D106&lt;&gt;"",E106&lt;&gt;""),ROUND((E106-D106)*1440,0),"")</f>
        <v/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6">
        <f>IF(C106="착유장",기준값!$B$3,IF(C106="건유·육성우동",기준값!$B$2,""))</f>
        <v/>
      </c>
      <c r="V106" s="6">
        <f>IF(AND(F106&lt;&gt;"",F106&gt;0,U106&lt;&gt;""),ROUND((U106-N(K106))/(F106/60),0),"")</f>
        <v/>
      </c>
      <c r="W106" s="6">
        <f>IF(U106&lt;&gt;"",ROUND(N(K106)/U106*100,1),"")</f>
        <v/>
      </c>
    </row>
    <row r="107">
      <c r="A107" s="3" t="n"/>
      <c r="B107" s="4" t="n"/>
      <c r="C107" s="4" t="n"/>
      <c r="D107" s="5" t="n"/>
      <c r="E107" s="5" t="n"/>
      <c r="F107" s="6">
        <f>IF(AND(D107&lt;&gt;"",E107&lt;&gt;""),ROUND((E107-D107)*1440,0),"")</f>
        <v/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6">
        <f>IF(C107="착유장",기준값!$B$3,IF(C107="건유·육성우동",기준값!$B$2,""))</f>
        <v/>
      </c>
      <c r="V107" s="6">
        <f>IF(AND(F107&lt;&gt;"",F107&gt;0,U107&lt;&gt;""),ROUND((U107-N(K107))/(F107/60),0),"")</f>
        <v/>
      </c>
      <c r="W107" s="6">
        <f>IF(U107&lt;&gt;"",ROUND(N(K107)/U107*100,1),"")</f>
        <v/>
      </c>
    </row>
    <row r="108">
      <c r="A108" s="3" t="n"/>
      <c r="B108" s="4" t="n"/>
      <c r="C108" s="4" t="n"/>
      <c r="D108" s="5" t="n"/>
      <c r="E108" s="5" t="n"/>
      <c r="F108" s="6">
        <f>IF(AND(D108&lt;&gt;"",E108&lt;&gt;""),ROUND((E108-D108)*1440,0),"")</f>
        <v/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6">
        <f>IF(C108="착유장",기준값!$B$3,IF(C108="건유·육성우동",기준값!$B$2,""))</f>
        <v/>
      </c>
      <c r="V108" s="6">
        <f>IF(AND(F108&lt;&gt;"",F108&gt;0,U108&lt;&gt;""),ROUND((U108-N(K108))/(F108/60),0),"")</f>
        <v/>
      </c>
      <c r="W108" s="6">
        <f>IF(U108&lt;&gt;"",ROUND(N(K108)/U108*100,1),"")</f>
        <v/>
      </c>
    </row>
    <row r="109">
      <c r="A109" s="3" t="n"/>
      <c r="B109" s="4" t="n"/>
      <c r="C109" s="4" t="n"/>
      <c r="D109" s="5" t="n"/>
      <c r="E109" s="5" t="n"/>
      <c r="F109" s="6">
        <f>IF(AND(D109&lt;&gt;"",E109&lt;&gt;""),ROUND((E109-D109)*1440,0),"")</f>
        <v/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6">
        <f>IF(C109="착유장",기준값!$B$3,IF(C109="건유·육성우동",기준값!$B$2,""))</f>
        <v/>
      </c>
      <c r="V109" s="6">
        <f>IF(AND(F109&lt;&gt;"",F109&gt;0,U109&lt;&gt;""),ROUND((U109-N(K109))/(F109/60),0),"")</f>
        <v/>
      </c>
      <c r="W109" s="6">
        <f>IF(U109&lt;&gt;"",ROUND(N(K109)/U109*100,1),"")</f>
        <v/>
      </c>
    </row>
    <row r="110">
      <c r="A110" s="3" t="n"/>
      <c r="B110" s="4" t="n"/>
      <c r="C110" s="4" t="n"/>
      <c r="D110" s="5" t="n"/>
      <c r="E110" s="5" t="n"/>
      <c r="F110" s="6">
        <f>IF(AND(D110&lt;&gt;"",E110&lt;&gt;""),ROUND((E110-D110)*1440,0),"")</f>
        <v/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6">
        <f>IF(C110="착유장",기준값!$B$3,IF(C110="건유·육성우동",기준값!$B$2,""))</f>
        <v/>
      </c>
      <c r="V110" s="6">
        <f>IF(AND(F110&lt;&gt;"",F110&gt;0,U110&lt;&gt;""),ROUND((U110-N(K110))/(F110/60),0),"")</f>
        <v/>
      </c>
      <c r="W110" s="6">
        <f>IF(U110&lt;&gt;"",ROUND(N(K110)/U110*100,1),"")</f>
        <v/>
      </c>
    </row>
    <row r="111">
      <c r="A111" s="3" t="n"/>
      <c r="B111" s="4" t="n"/>
      <c r="C111" s="4" t="n"/>
      <c r="D111" s="5" t="n"/>
      <c r="E111" s="5" t="n"/>
      <c r="F111" s="6">
        <f>IF(AND(D111&lt;&gt;"",E111&lt;&gt;""),ROUND((E111-D111)*1440,0),"")</f>
        <v/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6">
        <f>IF(C111="착유장",기준값!$B$3,IF(C111="건유·육성우동",기준값!$B$2,""))</f>
        <v/>
      </c>
      <c r="V111" s="6">
        <f>IF(AND(F111&lt;&gt;"",F111&gt;0,U111&lt;&gt;""),ROUND((U111-N(K111))/(F111/60),0),"")</f>
        <v/>
      </c>
      <c r="W111" s="6">
        <f>IF(U111&lt;&gt;"",ROUND(N(K111)/U111*100,1),"")</f>
        <v/>
      </c>
    </row>
    <row r="112">
      <c r="A112" s="3" t="n"/>
      <c r="B112" s="4" t="n"/>
      <c r="C112" s="4" t="n"/>
      <c r="D112" s="5" t="n"/>
      <c r="E112" s="5" t="n"/>
      <c r="F112" s="6">
        <f>IF(AND(D112&lt;&gt;"",E112&lt;&gt;""),ROUND((E112-D112)*1440,0),"")</f>
        <v/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6">
        <f>IF(C112="착유장",기준값!$B$3,IF(C112="건유·육성우동",기준값!$B$2,""))</f>
        <v/>
      </c>
      <c r="V112" s="6">
        <f>IF(AND(F112&lt;&gt;"",F112&gt;0,U112&lt;&gt;""),ROUND((U112-N(K112))/(F112/60),0),"")</f>
        <v/>
      </c>
      <c r="W112" s="6">
        <f>IF(U112&lt;&gt;"",ROUND(N(K112)/U112*100,1),"")</f>
        <v/>
      </c>
    </row>
    <row r="113">
      <c r="A113" s="3" t="n"/>
      <c r="B113" s="4" t="n"/>
      <c r="C113" s="4" t="n"/>
      <c r="D113" s="5" t="n"/>
      <c r="E113" s="5" t="n"/>
      <c r="F113" s="6">
        <f>IF(AND(D113&lt;&gt;"",E113&lt;&gt;""),ROUND((E113-D113)*1440,0),"")</f>
        <v/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6">
        <f>IF(C113="착유장",기준값!$B$3,IF(C113="건유·육성우동",기준값!$B$2,""))</f>
        <v/>
      </c>
      <c r="V113" s="6">
        <f>IF(AND(F113&lt;&gt;"",F113&gt;0,U113&lt;&gt;""),ROUND((U113-N(K113))/(F113/60),0),"")</f>
        <v/>
      </c>
      <c r="W113" s="6">
        <f>IF(U113&lt;&gt;"",ROUND(N(K113)/U113*100,1),"")</f>
        <v/>
      </c>
    </row>
    <row r="114">
      <c r="A114" s="3" t="n"/>
      <c r="B114" s="4" t="n"/>
      <c r="C114" s="4" t="n"/>
      <c r="D114" s="5" t="n"/>
      <c r="E114" s="5" t="n"/>
      <c r="F114" s="6">
        <f>IF(AND(D114&lt;&gt;"",E114&lt;&gt;""),ROUND((E114-D114)*1440,0),"")</f>
        <v/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6">
        <f>IF(C114="착유장",기준값!$B$3,IF(C114="건유·육성우동",기준값!$B$2,""))</f>
        <v/>
      </c>
      <c r="V114" s="6">
        <f>IF(AND(F114&lt;&gt;"",F114&gt;0,U114&lt;&gt;""),ROUND((U114-N(K114))/(F114/60),0),"")</f>
        <v/>
      </c>
      <c r="W114" s="6">
        <f>IF(U114&lt;&gt;"",ROUND(N(K114)/U114*100,1),"")</f>
        <v/>
      </c>
    </row>
    <row r="115">
      <c r="A115" s="3" t="n"/>
      <c r="B115" s="4" t="n"/>
      <c r="C115" s="4" t="n"/>
      <c r="D115" s="5" t="n"/>
      <c r="E115" s="5" t="n"/>
      <c r="F115" s="6">
        <f>IF(AND(D115&lt;&gt;"",E115&lt;&gt;""),ROUND((E115-D115)*1440,0),"")</f>
        <v/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6">
        <f>IF(C115="착유장",기준값!$B$3,IF(C115="건유·육성우동",기준값!$B$2,""))</f>
        <v/>
      </c>
      <c r="V115" s="6">
        <f>IF(AND(F115&lt;&gt;"",F115&gt;0,U115&lt;&gt;""),ROUND((U115-N(K115))/(F115/60),0),"")</f>
        <v/>
      </c>
      <c r="W115" s="6">
        <f>IF(U115&lt;&gt;"",ROUND(N(K115)/U115*100,1),"")</f>
        <v/>
      </c>
    </row>
    <row r="116">
      <c r="A116" s="3" t="n"/>
      <c r="B116" s="4" t="n"/>
      <c r="C116" s="4" t="n"/>
      <c r="D116" s="5" t="n"/>
      <c r="E116" s="5" t="n"/>
      <c r="F116" s="6">
        <f>IF(AND(D116&lt;&gt;"",E116&lt;&gt;""),ROUND((E116-D116)*1440,0),"")</f>
        <v/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6">
        <f>IF(C116="착유장",기준값!$B$3,IF(C116="건유·육성우동",기준값!$B$2,""))</f>
        <v/>
      </c>
      <c r="V116" s="6">
        <f>IF(AND(F116&lt;&gt;"",F116&gt;0,U116&lt;&gt;""),ROUND((U116-N(K116))/(F116/60),0),"")</f>
        <v/>
      </c>
      <c r="W116" s="6">
        <f>IF(U116&lt;&gt;"",ROUND(N(K116)/U116*100,1),"")</f>
        <v/>
      </c>
    </row>
    <row r="117">
      <c r="A117" s="3" t="n"/>
      <c r="B117" s="4" t="n"/>
      <c r="C117" s="4" t="n"/>
      <c r="D117" s="5" t="n"/>
      <c r="E117" s="5" t="n"/>
      <c r="F117" s="6">
        <f>IF(AND(D117&lt;&gt;"",E117&lt;&gt;""),ROUND((E117-D117)*1440,0),"")</f>
        <v/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6">
        <f>IF(C117="착유장",기준값!$B$3,IF(C117="건유·육성우동",기준값!$B$2,""))</f>
        <v/>
      </c>
      <c r="V117" s="6">
        <f>IF(AND(F117&lt;&gt;"",F117&gt;0,U117&lt;&gt;""),ROUND((U117-N(K117))/(F117/60),0),"")</f>
        <v/>
      </c>
      <c r="W117" s="6">
        <f>IF(U117&lt;&gt;"",ROUND(N(K117)/U117*100,1),"")</f>
        <v/>
      </c>
    </row>
    <row r="118">
      <c r="A118" s="3" t="n"/>
      <c r="B118" s="4" t="n"/>
      <c r="C118" s="4" t="n"/>
      <c r="D118" s="5" t="n"/>
      <c r="E118" s="5" t="n"/>
      <c r="F118" s="6">
        <f>IF(AND(D118&lt;&gt;"",E118&lt;&gt;""),ROUND((E118-D118)*1440,0),"")</f>
        <v/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6">
        <f>IF(C118="착유장",기준값!$B$3,IF(C118="건유·육성우동",기준값!$B$2,""))</f>
        <v/>
      </c>
      <c r="V118" s="6">
        <f>IF(AND(F118&lt;&gt;"",F118&gt;0,U118&lt;&gt;""),ROUND((U118-N(K118))/(F118/60),0),"")</f>
        <v/>
      </c>
      <c r="W118" s="6">
        <f>IF(U118&lt;&gt;"",ROUND(N(K118)/U118*100,1),"")</f>
        <v/>
      </c>
    </row>
    <row r="119">
      <c r="A119" s="3" t="n"/>
      <c r="B119" s="4" t="n"/>
      <c r="C119" s="4" t="n"/>
      <c r="D119" s="5" t="n"/>
      <c r="E119" s="5" t="n"/>
      <c r="F119" s="6">
        <f>IF(AND(D119&lt;&gt;"",E119&lt;&gt;""),ROUND((E119-D119)*1440,0),"")</f>
        <v/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6">
        <f>IF(C119="착유장",기준값!$B$3,IF(C119="건유·육성우동",기준값!$B$2,""))</f>
        <v/>
      </c>
      <c r="V119" s="6">
        <f>IF(AND(F119&lt;&gt;"",F119&gt;0,U119&lt;&gt;""),ROUND((U119-N(K119))/(F119/60),0),"")</f>
        <v/>
      </c>
      <c r="W119" s="6">
        <f>IF(U119&lt;&gt;"",ROUND(N(K119)/U119*100,1),"")</f>
        <v/>
      </c>
    </row>
    <row r="120">
      <c r="A120" s="3" t="n"/>
      <c r="B120" s="4" t="n"/>
      <c r="C120" s="4" t="n"/>
      <c r="D120" s="5" t="n"/>
      <c r="E120" s="5" t="n"/>
      <c r="F120" s="6">
        <f>IF(AND(D120&lt;&gt;"",E120&lt;&gt;""),ROUND((E120-D120)*1440,0),"")</f>
        <v/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6">
        <f>IF(C120="착유장",기준값!$B$3,IF(C120="건유·육성우동",기준값!$B$2,""))</f>
        <v/>
      </c>
      <c r="V120" s="6">
        <f>IF(AND(F120&lt;&gt;"",F120&gt;0,U120&lt;&gt;""),ROUND((U120-N(K120))/(F120/60),0),"")</f>
        <v/>
      </c>
      <c r="W120" s="6">
        <f>IF(U120&lt;&gt;"",ROUND(N(K120)/U120*100,1),"")</f>
        <v/>
      </c>
    </row>
    <row r="121">
      <c r="A121" s="3" t="n"/>
      <c r="B121" s="4" t="n"/>
      <c r="C121" s="4" t="n"/>
      <c r="D121" s="5" t="n"/>
      <c r="E121" s="5" t="n"/>
      <c r="F121" s="6">
        <f>IF(AND(D121&lt;&gt;"",E121&lt;&gt;""),ROUND((E121-D121)*1440,0),"")</f>
        <v/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6">
        <f>IF(C121="착유장",기준값!$B$3,IF(C121="건유·육성우동",기준값!$B$2,""))</f>
        <v/>
      </c>
      <c r="V121" s="6">
        <f>IF(AND(F121&lt;&gt;"",F121&gt;0,U121&lt;&gt;""),ROUND((U121-N(K121))/(F121/60),0),"")</f>
        <v/>
      </c>
      <c r="W121" s="6">
        <f>IF(U121&lt;&gt;"",ROUND(N(K121)/U121*100,1),"")</f>
        <v/>
      </c>
    </row>
    <row r="122">
      <c r="A122" s="3" t="n"/>
      <c r="B122" s="4" t="n"/>
      <c r="C122" s="4" t="n"/>
      <c r="D122" s="5" t="n"/>
      <c r="E122" s="5" t="n"/>
      <c r="F122" s="6">
        <f>IF(AND(D122&lt;&gt;"",E122&lt;&gt;""),ROUND((E122-D122)*1440,0),"")</f>
        <v/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6">
        <f>IF(C122="착유장",기준값!$B$3,IF(C122="건유·육성우동",기준값!$B$2,""))</f>
        <v/>
      </c>
      <c r="V122" s="6">
        <f>IF(AND(F122&lt;&gt;"",F122&gt;0,U122&lt;&gt;""),ROUND((U122-N(K122))/(F122/60),0),"")</f>
        <v/>
      </c>
      <c r="W122" s="6">
        <f>IF(U122&lt;&gt;"",ROUND(N(K122)/U122*100,1),"")</f>
        <v/>
      </c>
    </row>
    <row r="123">
      <c r="A123" s="3" t="n"/>
      <c r="B123" s="4" t="n"/>
      <c r="C123" s="4" t="n"/>
      <c r="D123" s="5" t="n"/>
      <c r="E123" s="5" t="n"/>
      <c r="F123" s="6">
        <f>IF(AND(D123&lt;&gt;"",E123&lt;&gt;""),ROUND((E123-D123)*1440,0),"")</f>
        <v/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6">
        <f>IF(C123="착유장",기준값!$B$3,IF(C123="건유·육성우동",기준값!$B$2,""))</f>
        <v/>
      </c>
      <c r="V123" s="6">
        <f>IF(AND(F123&lt;&gt;"",F123&gt;0,U123&lt;&gt;""),ROUND((U123-N(K123))/(F123/60),0),"")</f>
        <v/>
      </c>
      <c r="W123" s="6">
        <f>IF(U123&lt;&gt;"",ROUND(N(K123)/U123*100,1),"")</f>
        <v/>
      </c>
    </row>
    <row r="124">
      <c r="A124" s="3" t="n"/>
      <c r="B124" s="4" t="n"/>
      <c r="C124" s="4" t="n"/>
      <c r="D124" s="5" t="n"/>
      <c r="E124" s="5" t="n"/>
      <c r="F124" s="6">
        <f>IF(AND(D124&lt;&gt;"",E124&lt;&gt;""),ROUND((E124-D124)*1440,0),"")</f>
        <v/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6">
        <f>IF(C124="착유장",기준값!$B$3,IF(C124="건유·육성우동",기준값!$B$2,""))</f>
        <v/>
      </c>
      <c r="V124" s="6">
        <f>IF(AND(F124&lt;&gt;"",F124&gt;0,U124&lt;&gt;""),ROUND((U124-N(K124))/(F124/60),0),"")</f>
        <v/>
      </c>
      <c r="W124" s="6">
        <f>IF(U124&lt;&gt;"",ROUND(N(K124)/U124*100,1),"")</f>
        <v/>
      </c>
    </row>
    <row r="125">
      <c r="A125" s="3" t="n"/>
      <c r="B125" s="4" t="n"/>
      <c r="C125" s="4" t="n"/>
      <c r="D125" s="5" t="n"/>
      <c r="E125" s="5" t="n"/>
      <c r="F125" s="6">
        <f>IF(AND(D125&lt;&gt;"",E125&lt;&gt;""),ROUND((E125-D125)*1440,0),"")</f>
        <v/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6">
        <f>IF(C125="착유장",기준값!$B$3,IF(C125="건유·육성우동",기준값!$B$2,""))</f>
        <v/>
      </c>
      <c r="V125" s="6">
        <f>IF(AND(F125&lt;&gt;"",F125&gt;0,U125&lt;&gt;""),ROUND((U125-N(K125))/(F125/60),0),"")</f>
        <v/>
      </c>
      <c r="W125" s="6">
        <f>IF(U125&lt;&gt;"",ROUND(N(K125)/U125*100,1),"")</f>
        <v/>
      </c>
    </row>
    <row r="126">
      <c r="A126" s="3" t="n"/>
      <c r="B126" s="4" t="n"/>
      <c r="C126" s="4" t="n"/>
      <c r="D126" s="5" t="n"/>
      <c r="E126" s="5" t="n"/>
      <c r="F126" s="6">
        <f>IF(AND(D126&lt;&gt;"",E126&lt;&gt;""),ROUND((E126-D126)*1440,0),"")</f>
        <v/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6">
        <f>IF(C126="착유장",기준값!$B$3,IF(C126="건유·육성우동",기준값!$B$2,""))</f>
        <v/>
      </c>
      <c r="V126" s="6">
        <f>IF(AND(F126&lt;&gt;"",F126&gt;0,U126&lt;&gt;""),ROUND((U126-N(K126))/(F126/60),0),"")</f>
        <v/>
      </c>
      <c r="W126" s="6">
        <f>IF(U126&lt;&gt;"",ROUND(N(K126)/U126*100,1),"")</f>
        <v/>
      </c>
    </row>
    <row r="127">
      <c r="A127" s="3" t="n"/>
      <c r="B127" s="4" t="n"/>
      <c r="C127" s="4" t="n"/>
      <c r="D127" s="5" t="n"/>
      <c r="E127" s="5" t="n"/>
      <c r="F127" s="6">
        <f>IF(AND(D127&lt;&gt;"",E127&lt;&gt;""),ROUND((E127-D127)*1440,0),"")</f>
        <v/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6">
        <f>IF(C127="착유장",기준값!$B$3,IF(C127="건유·육성우동",기준값!$B$2,""))</f>
        <v/>
      </c>
      <c r="V127" s="6">
        <f>IF(AND(F127&lt;&gt;"",F127&gt;0,U127&lt;&gt;""),ROUND((U127-N(K127))/(F127/60),0),"")</f>
        <v/>
      </c>
      <c r="W127" s="6">
        <f>IF(U127&lt;&gt;"",ROUND(N(K127)/U127*100,1),"")</f>
        <v/>
      </c>
    </row>
    <row r="128">
      <c r="A128" s="3" t="n"/>
      <c r="B128" s="4" t="n"/>
      <c r="C128" s="4" t="n"/>
      <c r="D128" s="5" t="n"/>
      <c r="E128" s="5" t="n"/>
      <c r="F128" s="6">
        <f>IF(AND(D128&lt;&gt;"",E128&lt;&gt;""),ROUND((E128-D128)*1440,0),"")</f>
        <v/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6">
        <f>IF(C128="착유장",기준값!$B$3,IF(C128="건유·육성우동",기준값!$B$2,""))</f>
        <v/>
      </c>
      <c r="V128" s="6">
        <f>IF(AND(F128&lt;&gt;"",F128&gt;0,U128&lt;&gt;""),ROUND((U128-N(K128))/(F128/60),0),"")</f>
        <v/>
      </c>
      <c r="W128" s="6">
        <f>IF(U128&lt;&gt;"",ROUND(N(K128)/U128*100,1),"")</f>
        <v/>
      </c>
    </row>
    <row r="129">
      <c r="A129" s="3" t="n"/>
      <c r="B129" s="4" t="n"/>
      <c r="C129" s="4" t="n"/>
      <c r="D129" s="5" t="n"/>
      <c r="E129" s="5" t="n"/>
      <c r="F129" s="6">
        <f>IF(AND(D129&lt;&gt;"",E129&lt;&gt;""),ROUND((E129-D129)*1440,0),"")</f>
        <v/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6">
        <f>IF(C129="착유장",기준값!$B$3,IF(C129="건유·육성우동",기준값!$B$2,""))</f>
        <v/>
      </c>
      <c r="V129" s="6">
        <f>IF(AND(F129&lt;&gt;"",F129&gt;0,U129&lt;&gt;""),ROUND((U129-N(K129))/(F129/60),0),"")</f>
        <v/>
      </c>
      <c r="W129" s="6">
        <f>IF(U129&lt;&gt;"",ROUND(N(K129)/U129*100,1),"")</f>
        <v/>
      </c>
    </row>
    <row r="130">
      <c r="A130" s="3" t="n"/>
      <c r="B130" s="4" t="n"/>
      <c r="C130" s="4" t="n"/>
      <c r="D130" s="5" t="n"/>
      <c r="E130" s="5" t="n"/>
      <c r="F130" s="6">
        <f>IF(AND(D130&lt;&gt;"",E130&lt;&gt;""),ROUND((E130-D130)*1440,0),"")</f>
        <v/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6">
        <f>IF(C130="착유장",기준값!$B$3,IF(C130="건유·육성우동",기준값!$B$2,""))</f>
        <v/>
      </c>
      <c r="V130" s="6">
        <f>IF(AND(F130&lt;&gt;"",F130&gt;0,U130&lt;&gt;""),ROUND((U130-N(K130))/(F130/60),0),"")</f>
        <v/>
      </c>
      <c r="W130" s="6">
        <f>IF(U130&lt;&gt;"",ROUND(N(K130)/U130*100,1),"")</f>
        <v/>
      </c>
    </row>
    <row r="131">
      <c r="A131" s="3" t="n"/>
      <c r="B131" s="4" t="n"/>
      <c r="C131" s="4" t="n"/>
      <c r="D131" s="5" t="n"/>
      <c r="E131" s="5" t="n"/>
      <c r="F131" s="6">
        <f>IF(AND(D131&lt;&gt;"",E131&lt;&gt;""),ROUND((E131-D131)*1440,0),"")</f>
        <v/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6">
        <f>IF(C131="착유장",기준값!$B$3,IF(C131="건유·육성우동",기준값!$B$2,""))</f>
        <v/>
      </c>
      <c r="V131" s="6">
        <f>IF(AND(F131&lt;&gt;"",F131&gt;0,U131&lt;&gt;""),ROUND((U131-N(K131))/(F131/60),0),"")</f>
        <v/>
      </c>
      <c r="W131" s="6">
        <f>IF(U131&lt;&gt;"",ROUND(N(K131)/U131*100,1),"")</f>
        <v/>
      </c>
    </row>
    <row r="132">
      <c r="A132" s="3" t="n"/>
      <c r="B132" s="4" t="n"/>
      <c r="C132" s="4" t="n"/>
      <c r="D132" s="5" t="n"/>
      <c r="E132" s="5" t="n"/>
      <c r="F132" s="6">
        <f>IF(AND(D132&lt;&gt;"",E132&lt;&gt;""),ROUND((E132-D132)*1440,0),"")</f>
        <v/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6">
        <f>IF(C132="착유장",기준값!$B$3,IF(C132="건유·육성우동",기준값!$B$2,""))</f>
        <v/>
      </c>
      <c r="V132" s="6">
        <f>IF(AND(F132&lt;&gt;"",F132&gt;0,U132&lt;&gt;""),ROUND((U132-N(K132))/(F132/60),0),"")</f>
        <v/>
      </c>
      <c r="W132" s="6">
        <f>IF(U132&lt;&gt;"",ROUND(N(K132)/U132*100,1),"")</f>
        <v/>
      </c>
    </row>
    <row r="133">
      <c r="A133" s="3" t="n"/>
      <c r="B133" s="4" t="n"/>
      <c r="C133" s="4" t="n"/>
      <c r="D133" s="5" t="n"/>
      <c r="E133" s="5" t="n"/>
      <c r="F133" s="6">
        <f>IF(AND(D133&lt;&gt;"",E133&lt;&gt;""),ROUND((E133-D133)*1440,0),"")</f>
        <v/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6">
        <f>IF(C133="착유장",기준값!$B$3,IF(C133="건유·육성우동",기준값!$B$2,""))</f>
        <v/>
      </c>
      <c r="V133" s="6">
        <f>IF(AND(F133&lt;&gt;"",F133&gt;0,U133&lt;&gt;""),ROUND((U133-N(K133))/(F133/60),0),"")</f>
        <v/>
      </c>
      <c r="W133" s="6">
        <f>IF(U133&lt;&gt;"",ROUND(N(K133)/U133*100,1),"")</f>
        <v/>
      </c>
    </row>
    <row r="134">
      <c r="A134" s="3" t="n"/>
      <c r="B134" s="4" t="n"/>
      <c r="C134" s="4" t="n"/>
      <c r="D134" s="5" t="n"/>
      <c r="E134" s="5" t="n"/>
      <c r="F134" s="6">
        <f>IF(AND(D134&lt;&gt;"",E134&lt;&gt;""),ROUND((E134-D134)*1440,0),"")</f>
        <v/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6">
        <f>IF(C134="착유장",기준값!$B$3,IF(C134="건유·육성우동",기준값!$B$2,""))</f>
        <v/>
      </c>
      <c r="V134" s="6">
        <f>IF(AND(F134&lt;&gt;"",F134&gt;0,U134&lt;&gt;""),ROUND((U134-N(K134))/(F134/60),0),"")</f>
        <v/>
      </c>
      <c r="W134" s="6">
        <f>IF(U134&lt;&gt;"",ROUND(N(K134)/U134*100,1),"")</f>
        <v/>
      </c>
    </row>
    <row r="135">
      <c r="A135" s="3" t="n"/>
      <c r="B135" s="4" t="n"/>
      <c r="C135" s="4" t="n"/>
      <c r="D135" s="5" t="n"/>
      <c r="E135" s="5" t="n"/>
      <c r="F135" s="6">
        <f>IF(AND(D135&lt;&gt;"",E135&lt;&gt;""),ROUND((E135-D135)*1440,0),"")</f>
        <v/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6">
        <f>IF(C135="착유장",기준값!$B$3,IF(C135="건유·육성우동",기준값!$B$2,""))</f>
        <v/>
      </c>
      <c r="V135" s="6">
        <f>IF(AND(F135&lt;&gt;"",F135&gt;0,U135&lt;&gt;""),ROUND((U135-N(K135))/(F135/60),0),"")</f>
        <v/>
      </c>
      <c r="W135" s="6">
        <f>IF(U135&lt;&gt;"",ROUND(N(K135)/U135*100,1),"")</f>
        <v/>
      </c>
    </row>
    <row r="136">
      <c r="A136" s="3" t="n"/>
      <c r="B136" s="4" t="n"/>
      <c r="C136" s="4" t="n"/>
      <c r="D136" s="5" t="n"/>
      <c r="E136" s="5" t="n"/>
      <c r="F136" s="6">
        <f>IF(AND(D136&lt;&gt;"",E136&lt;&gt;""),ROUND((E136-D136)*1440,0),"")</f>
        <v/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6">
        <f>IF(C136="착유장",기준값!$B$3,IF(C136="건유·육성우동",기준값!$B$2,""))</f>
        <v/>
      </c>
      <c r="V136" s="6">
        <f>IF(AND(F136&lt;&gt;"",F136&gt;0,U136&lt;&gt;""),ROUND((U136-N(K136))/(F136/60),0),"")</f>
        <v/>
      </c>
      <c r="W136" s="6">
        <f>IF(U136&lt;&gt;"",ROUND(N(K136)/U136*100,1),"")</f>
        <v/>
      </c>
    </row>
    <row r="137">
      <c r="A137" s="3" t="n"/>
      <c r="B137" s="4" t="n"/>
      <c r="C137" s="4" t="n"/>
      <c r="D137" s="5" t="n"/>
      <c r="E137" s="5" t="n"/>
      <c r="F137" s="6">
        <f>IF(AND(D137&lt;&gt;"",E137&lt;&gt;""),ROUND((E137-D137)*1440,0),"")</f>
        <v/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6">
        <f>IF(C137="착유장",기준값!$B$3,IF(C137="건유·육성우동",기준값!$B$2,""))</f>
        <v/>
      </c>
      <c r="V137" s="6">
        <f>IF(AND(F137&lt;&gt;"",F137&gt;0,U137&lt;&gt;""),ROUND((U137-N(K137))/(F137/60),0),"")</f>
        <v/>
      </c>
      <c r="W137" s="6">
        <f>IF(U137&lt;&gt;"",ROUND(N(K137)/U137*100,1),"")</f>
        <v/>
      </c>
    </row>
    <row r="138">
      <c r="A138" s="3" t="n"/>
      <c r="B138" s="4" t="n"/>
      <c r="C138" s="4" t="n"/>
      <c r="D138" s="5" t="n"/>
      <c r="E138" s="5" t="n"/>
      <c r="F138" s="6">
        <f>IF(AND(D138&lt;&gt;"",E138&lt;&gt;""),ROUND((E138-D138)*1440,0),"")</f>
        <v/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6">
        <f>IF(C138="착유장",기준값!$B$3,IF(C138="건유·육성우동",기준값!$B$2,""))</f>
        <v/>
      </c>
      <c r="V138" s="6">
        <f>IF(AND(F138&lt;&gt;"",F138&gt;0,U138&lt;&gt;""),ROUND((U138-N(K138))/(F138/60),0),"")</f>
        <v/>
      </c>
      <c r="W138" s="6">
        <f>IF(U138&lt;&gt;"",ROUND(N(K138)/U138*100,1),"")</f>
        <v/>
      </c>
    </row>
    <row r="139">
      <c r="A139" s="3" t="n"/>
      <c r="B139" s="4" t="n"/>
      <c r="C139" s="4" t="n"/>
      <c r="D139" s="5" t="n"/>
      <c r="E139" s="5" t="n"/>
      <c r="F139" s="6">
        <f>IF(AND(D139&lt;&gt;"",E139&lt;&gt;""),ROUND((E139-D139)*1440,0),"")</f>
        <v/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6">
        <f>IF(C139="착유장",기준값!$B$3,IF(C139="건유·육성우동",기준값!$B$2,""))</f>
        <v/>
      </c>
      <c r="V139" s="6">
        <f>IF(AND(F139&lt;&gt;"",F139&gt;0,U139&lt;&gt;""),ROUND((U139-N(K139))/(F139/60),0),"")</f>
        <v/>
      </c>
      <c r="W139" s="6">
        <f>IF(U139&lt;&gt;"",ROUND(N(K139)/U139*100,1),"")</f>
        <v/>
      </c>
    </row>
    <row r="140">
      <c r="A140" s="3" t="n"/>
      <c r="B140" s="4" t="n"/>
      <c r="C140" s="4" t="n"/>
      <c r="D140" s="5" t="n"/>
      <c r="E140" s="5" t="n"/>
      <c r="F140" s="6">
        <f>IF(AND(D140&lt;&gt;"",E140&lt;&gt;""),ROUND((E140-D140)*1440,0),"")</f>
        <v/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6">
        <f>IF(C140="착유장",기준값!$B$3,IF(C140="건유·육성우동",기준값!$B$2,""))</f>
        <v/>
      </c>
      <c r="V140" s="6">
        <f>IF(AND(F140&lt;&gt;"",F140&gt;0,U140&lt;&gt;""),ROUND((U140-N(K140))/(F140/60),0),"")</f>
        <v/>
      </c>
      <c r="W140" s="6">
        <f>IF(U140&lt;&gt;"",ROUND(N(K140)/U140*100,1),"")</f>
        <v/>
      </c>
    </row>
    <row r="141">
      <c r="A141" s="3" t="n"/>
      <c r="B141" s="4" t="n"/>
      <c r="C141" s="4" t="n"/>
      <c r="D141" s="5" t="n"/>
      <c r="E141" s="5" t="n"/>
      <c r="F141" s="6">
        <f>IF(AND(D141&lt;&gt;"",E141&lt;&gt;""),ROUND((E141-D141)*1440,0),"")</f>
        <v/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6">
        <f>IF(C141="착유장",기준값!$B$3,IF(C141="건유·육성우동",기준값!$B$2,""))</f>
        <v/>
      </c>
      <c r="V141" s="6">
        <f>IF(AND(F141&lt;&gt;"",F141&gt;0,U141&lt;&gt;""),ROUND((U141-N(K141))/(F141/60),0),"")</f>
        <v/>
      </c>
      <c r="W141" s="6">
        <f>IF(U141&lt;&gt;"",ROUND(N(K141)/U141*100,1),"")</f>
        <v/>
      </c>
    </row>
    <row r="142">
      <c r="A142" s="3" t="n"/>
      <c r="B142" s="4" t="n"/>
      <c r="C142" s="4" t="n"/>
      <c r="D142" s="5" t="n"/>
      <c r="E142" s="5" t="n"/>
      <c r="F142" s="6">
        <f>IF(AND(D142&lt;&gt;"",E142&lt;&gt;""),ROUND((E142-D142)*1440,0),"")</f>
        <v/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6">
        <f>IF(C142="착유장",기준값!$B$3,IF(C142="건유·육성우동",기준값!$B$2,""))</f>
        <v/>
      </c>
      <c r="V142" s="6">
        <f>IF(AND(F142&lt;&gt;"",F142&gt;0,U142&lt;&gt;""),ROUND((U142-N(K142))/(F142/60),0),"")</f>
        <v/>
      </c>
      <c r="W142" s="6">
        <f>IF(U142&lt;&gt;"",ROUND(N(K142)/U142*100,1),"")</f>
        <v/>
      </c>
    </row>
    <row r="143">
      <c r="A143" s="3" t="n"/>
      <c r="B143" s="4" t="n"/>
      <c r="C143" s="4" t="n"/>
      <c r="D143" s="5" t="n"/>
      <c r="E143" s="5" t="n"/>
      <c r="F143" s="6">
        <f>IF(AND(D143&lt;&gt;"",E143&lt;&gt;""),ROUND((E143-D143)*1440,0),"")</f>
        <v/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6">
        <f>IF(C143="착유장",기준값!$B$3,IF(C143="건유·육성우동",기준값!$B$2,""))</f>
        <v/>
      </c>
      <c r="V143" s="6">
        <f>IF(AND(F143&lt;&gt;"",F143&gt;0,U143&lt;&gt;""),ROUND((U143-N(K143))/(F143/60),0),"")</f>
        <v/>
      </c>
      <c r="W143" s="6">
        <f>IF(U143&lt;&gt;"",ROUND(N(K143)/U143*100,1),"")</f>
        <v/>
      </c>
    </row>
    <row r="144">
      <c r="A144" s="3" t="n"/>
      <c r="B144" s="4" t="n"/>
      <c r="C144" s="4" t="n"/>
      <c r="D144" s="5" t="n"/>
      <c r="E144" s="5" t="n"/>
      <c r="F144" s="6">
        <f>IF(AND(D144&lt;&gt;"",E144&lt;&gt;""),ROUND((E144-D144)*1440,0),"")</f>
        <v/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6">
        <f>IF(C144="착유장",기준값!$B$3,IF(C144="건유·육성우동",기준값!$B$2,""))</f>
        <v/>
      </c>
      <c r="V144" s="6">
        <f>IF(AND(F144&lt;&gt;"",F144&gt;0,U144&lt;&gt;""),ROUND((U144-N(K144))/(F144/60),0),"")</f>
        <v/>
      </c>
      <c r="W144" s="6">
        <f>IF(U144&lt;&gt;"",ROUND(N(K144)/U144*100,1),"")</f>
        <v/>
      </c>
    </row>
    <row r="145">
      <c r="A145" s="3" t="n"/>
      <c r="B145" s="4" t="n"/>
      <c r="C145" s="4" t="n"/>
      <c r="D145" s="5" t="n"/>
      <c r="E145" s="5" t="n"/>
      <c r="F145" s="6">
        <f>IF(AND(D145&lt;&gt;"",E145&lt;&gt;""),ROUND((E145-D145)*1440,0),"")</f>
        <v/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6">
        <f>IF(C145="착유장",기준값!$B$3,IF(C145="건유·육성우동",기준값!$B$2,""))</f>
        <v/>
      </c>
      <c r="V145" s="6">
        <f>IF(AND(F145&lt;&gt;"",F145&gt;0,U145&lt;&gt;""),ROUND((U145-N(K145))/(F145/60),0),"")</f>
        <v/>
      </c>
      <c r="W145" s="6">
        <f>IF(U145&lt;&gt;"",ROUND(N(K145)/U145*100,1),"")</f>
        <v/>
      </c>
    </row>
    <row r="146">
      <c r="A146" s="3" t="n"/>
      <c r="B146" s="4" t="n"/>
      <c r="C146" s="4" t="n"/>
      <c r="D146" s="5" t="n"/>
      <c r="E146" s="5" t="n"/>
      <c r="F146" s="6">
        <f>IF(AND(D146&lt;&gt;"",E146&lt;&gt;""),ROUND((E146-D146)*1440,0),"")</f>
        <v/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6">
        <f>IF(C146="착유장",기준값!$B$3,IF(C146="건유·육성우동",기준값!$B$2,""))</f>
        <v/>
      </c>
      <c r="V146" s="6">
        <f>IF(AND(F146&lt;&gt;"",F146&gt;0,U146&lt;&gt;""),ROUND((U146-N(K146))/(F146/60),0),"")</f>
        <v/>
      </c>
      <c r="W146" s="6">
        <f>IF(U146&lt;&gt;"",ROUND(N(K146)/U146*100,1),"")</f>
        <v/>
      </c>
    </row>
    <row r="147">
      <c r="A147" s="3" t="n"/>
      <c r="B147" s="4" t="n"/>
      <c r="C147" s="4" t="n"/>
      <c r="D147" s="5" t="n"/>
      <c r="E147" s="5" t="n"/>
      <c r="F147" s="6">
        <f>IF(AND(D147&lt;&gt;"",E147&lt;&gt;""),ROUND((E147-D147)*1440,0),"")</f>
        <v/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6">
        <f>IF(C147="착유장",기준값!$B$3,IF(C147="건유·육성우동",기준값!$B$2,""))</f>
        <v/>
      </c>
      <c r="V147" s="6">
        <f>IF(AND(F147&lt;&gt;"",F147&gt;0,U147&lt;&gt;""),ROUND((U147-N(K147))/(F147/60),0),"")</f>
        <v/>
      </c>
      <c r="W147" s="6">
        <f>IF(U147&lt;&gt;"",ROUND(N(K147)/U147*100,1),"")</f>
        <v/>
      </c>
    </row>
    <row r="148">
      <c r="A148" s="3" t="n"/>
      <c r="B148" s="4" t="n"/>
      <c r="C148" s="4" t="n"/>
      <c r="D148" s="5" t="n"/>
      <c r="E148" s="5" t="n"/>
      <c r="F148" s="6">
        <f>IF(AND(D148&lt;&gt;"",E148&lt;&gt;""),ROUND((E148-D148)*1440,0),"")</f>
        <v/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6">
        <f>IF(C148="착유장",기준값!$B$3,IF(C148="건유·육성우동",기준값!$B$2,""))</f>
        <v/>
      </c>
      <c r="V148" s="6">
        <f>IF(AND(F148&lt;&gt;"",F148&gt;0,U148&lt;&gt;""),ROUND((U148-N(K148))/(F148/60),0),"")</f>
        <v/>
      </c>
      <c r="W148" s="6">
        <f>IF(U148&lt;&gt;"",ROUND(N(K148)/U148*100,1),"")</f>
        <v/>
      </c>
    </row>
    <row r="149">
      <c r="A149" s="3" t="n"/>
      <c r="B149" s="4" t="n"/>
      <c r="C149" s="4" t="n"/>
      <c r="D149" s="5" t="n"/>
      <c r="E149" s="5" t="n"/>
      <c r="F149" s="6">
        <f>IF(AND(D149&lt;&gt;"",E149&lt;&gt;""),ROUND((E149-D149)*1440,0),"")</f>
        <v/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6">
        <f>IF(C149="착유장",기준값!$B$3,IF(C149="건유·육성우동",기준값!$B$2,""))</f>
        <v/>
      </c>
      <c r="V149" s="6">
        <f>IF(AND(F149&lt;&gt;"",F149&gt;0,U149&lt;&gt;""),ROUND((U149-N(K149))/(F149/60),0),"")</f>
        <v/>
      </c>
      <c r="W149" s="6">
        <f>IF(U149&lt;&gt;"",ROUND(N(K149)/U149*100,1),"")</f>
        <v/>
      </c>
    </row>
    <row r="150">
      <c r="A150" s="3" t="n"/>
      <c r="B150" s="4" t="n"/>
      <c r="C150" s="4" t="n"/>
      <c r="D150" s="5" t="n"/>
      <c r="E150" s="5" t="n"/>
      <c r="F150" s="6">
        <f>IF(AND(D150&lt;&gt;"",E150&lt;&gt;""),ROUND((E150-D150)*1440,0),"")</f>
        <v/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6">
        <f>IF(C150="착유장",기준값!$B$3,IF(C150="건유·육성우동",기준값!$B$2,""))</f>
        <v/>
      </c>
      <c r="V150" s="6">
        <f>IF(AND(F150&lt;&gt;"",F150&gt;0,U150&lt;&gt;""),ROUND((U150-N(K150))/(F150/60),0),"")</f>
        <v/>
      </c>
      <c r="W150" s="6">
        <f>IF(U150&lt;&gt;"",ROUND(N(K150)/U150*100,1),"")</f>
        <v/>
      </c>
    </row>
    <row r="151">
      <c r="A151" s="3" t="n"/>
      <c r="B151" s="4" t="n"/>
      <c r="C151" s="4" t="n"/>
      <c r="D151" s="5" t="n"/>
      <c r="E151" s="5" t="n"/>
      <c r="F151" s="6">
        <f>IF(AND(D151&lt;&gt;"",E151&lt;&gt;""),ROUND((E151-D151)*1440,0),"")</f>
        <v/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6">
        <f>IF(C151="착유장",기준값!$B$3,IF(C151="건유·육성우동",기준값!$B$2,""))</f>
        <v/>
      </c>
      <c r="V151" s="6">
        <f>IF(AND(F151&lt;&gt;"",F151&gt;0,U151&lt;&gt;""),ROUND((U151-N(K151))/(F151/60),0),"")</f>
        <v/>
      </c>
      <c r="W151" s="6">
        <f>IF(U151&lt;&gt;"",ROUND(N(K151)/U151*100,1),"")</f>
        <v/>
      </c>
    </row>
    <row r="152">
      <c r="A152" s="3" t="n"/>
      <c r="B152" s="4" t="n"/>
      <c r="C152" s="4" t="n"/>
      <c r="D152" s="5" t="n"/>
      <c r="E152" s="5" t="n"/>
      <c r="F152" s="6">
        <f>IF(AND(D152&lt;&gt;"",E152&lt;&gt;""),ROUND((E152-D152)*1440,0),"")</f>
        <v/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6">
        <f>IF(C152="착유장",기준값!$B$3,IF(C152="건유·육성우동",기준값!$B$2,""))</f>
        <v/>
      </c>
      <c r="V152" s="6">
        <f>IF(AND(F152&lt;&gt;"",F152&gt;0,U152&lt;&gt;""),ROUND((U152-N(K152))/(F152/60),0),"")</f>
        <v/>
      </c>
      <c r="W152" s="6">
        <f>IF(U152&lt;&gt;"",ROUND(N(K152)/U152*100,1),"")</f>
        <v/>
      </c>
    </row>
    <row r="153">
      <c r="A153" s="3" t="n"/>
      <c r="B153" s="4" t="n"/>
      <c r="C153" s="4" t="n"/>
      <c r="D153" s="5" t="n"/>
      <c r="E153" s="5" t="n"/>
      <c r="F153" s="6">
        <f>IF(AND(D153&lt;&gt;"",E153&lt;&gt;""),ROUND((E153-D153)*1440,0),"")</f>
        <v/>
      </c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6">
        <f>IF(C153="착유장",기준값!$B$3,IF(C153="건유·육성우동",기준값!$B$2,""))</f>
        <v/>
      </c>
      <c r="V153" s="6">
        <f>IF(AND(F153&lt;&gt;"",F153&gt;0,U153&lt;&gt;""),ROUND((U153-N(K153))/(F153/60),0),"")</f>
        <v/>
      </c>
      <c r="W153" s="6">
        <f>IF(U153&lt;&gt;"",ROUND(N(K153)/U153*100,1),"")</f>
        <v/>
      </c>
    </row>
    <row r="154">
      <c r="A154" s="3" t="n"/>
      <c r="B154" s="4" t="n"/>
      <c r="C154" s="4" t="n"/>
      <c r="D154" s="5" t="n"/>
      <c r="E154" s="5" t="n"/>
      <c r="F154" s="6">
        <f>IF(AND(D154&lt;&gt;"",E154&lt;&gt;""),ROUND((E154-D154)*1440,0),"")</f>
        <v/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6">
        <f>IF(C154="착유장",기준값!$B$3,IF(C154="건유·육성우동",기준값!$B$2,""))</f>
        <v/>
      </c>
      <c r="V154" s="6">
        <f>IF(AND(F154&lt;&gt;"",F154&gt;0,U154&lt;&gt;""),ROUND((U154-N(K154))/(F154/60),0),"")</f>
        <v/>
      </c>
      <c r="W154" s="6">
        <f>IF(U154&lt;&gt;"",ROUND(N(K154)/U154*100,1),"")</f>
        <v/>
      </c>
    </row>
    <row r="155">
      <c r="A155" s="3" t="n"/>
      <c r="B155" s="4" t="n"/>
      <c r="C155" s="4" t="n"/>
      <c r="D155" s="5" t="n"/>
      <c r="E155" s="5" t="n"/>
      <c r="F155" s="6">
        <f>IF(AND(D155&lt;&gt;"",E155&lt;&gt;""),ROUND((E155-D155)*1440,0),"")</f>
        <v/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6">
        <f>IF(C155="착유장",기준값!$B$3,IF(C155="건유·육성우동",기준값!$B$2,""))</f>
        <v/>
      </c>
      <c r="V155" s="6">
        <f>IF(AND(F155&lt;&gt;"",F155&gt;0,U155&lt;&gt;""),ROUND((U155-N(K155))/(F155/60),0),"")</f>
        <v/>
      </c>
      <c r="W155" s="6">
        <f>IF(U155&lt;&gt;"",ROUND(N(K155)/U155*100,1),"")</f>
        <v/>
      </c>
    </row>
    <row r="156">
      <c r="A156" s="3" t="n"/>
      <c r="B156" s="4" t="n"/>
      <c r="C156" s="4" t="n"/>
      <c r="D156" s="5" t="n"/>
      <c r="E156" s="5" t="n"/>
      <c r="F156" s="6">
        <f>IF(AND(D156&lt;&gt;"",E156&lt;&gt;""),ROUND((E156-D156)*1440,0),"")</f>
        <v/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6">
        <f>IF(C156="착유장",기준값!$B$3,IF(C156="건유·육성우동",기준값!$B$2,""))</f>
        <v/>
      </c>
      <c r="V156" s="6">
        <f>IF(AND(F156&lt;&gt;"",F156&gt;0,U156&lt;&gt;""),ROUND((U156-N(K156))/(F156/60),0),"")</f>
        <v/>
      </c>
      <c r="W156" s="6">
        <f>IF(U156&lt;&gt;"",ROUND(N(K156)/U156*100,1),"")</f>
        <v/>
      </c>
    </row>
    <row r="157">
      <c r="A157" s="3" t="n"/>
      <c r="B157" s="4" t="n"/>
      <c r="C157" s="4" t="n"/>
      <c r="D157" s="5" t="n"/>
      <c r="E157" s="5" t="n"/>
      <c r="F157" s="6">
        <f>IF(AND(D157&lt;&gt;"",E157&lt;&gt;""),ROUND((E157-D157)*1440,0),"")</f>
        <v/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6">
        <f>IF(C157="착유장",기준값!$B$3,IF(C157="건유·육성우동",기준값!$B$2,""))</f>
        <v/>
      </c>
      <c r="V157" s="6">
        <f>IF(AND(F157&lt;&gt;"",F157&gt;0,U157&lt;&gt;""),ROUND((U157-N(K157))/(F157/60),0),"")</f>
        <v/>
      </c>
      <c r="W157" s="6">
        <f>IF(U157&lt;&gt;"",ROUND(N(K157)/U157*100,1),"")</f>
        <v/>
      </c>
    </row>
    <row r="158">
      <c r="A158" s="3" t="n"/>
      <c r="B158" s="4" t="n"/>
      <c r="C158" s="4" t="n"/>
      <c r="D158" s="5" t="n"/>
      <c r="E158" s="5" t="n"/>
      <c r="F158" s="6">
        <f>IF(AND(D158&lt;&gt;"",E158&lt;&gt;""),ROUND((E158-D158)*1440,0),"")</f>
        <v/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6">
        <f>IF(C158="착유장",기준값!$B$3,IF(C158="건유·육성우동",기준값!$B$2,""))</f>
        <v/>
      </c>
      <c r="V158" s="6">
        <f>IF(AND(F158&lt;&gt;"",F158&gt;0,U158&lt;&gt;""),ROUND((U158-N(K158))/(F158/60),0),"")</f>
        <v/>
      </c>
      <c r="W158" s="6">
        <f>IF(U158&lt;&gt;"",ROUND(N(K158)/U158*100,1),"")</f>
        <v/>
      </c>
    </row>
    <row r="159">
      <c r="A159" s="3" t="n"/>
      <c r="B159" s="4" t="n"/>
      <c r="C159" s="4" t="n"/>
      <c r="D159" s="5" t="n"/>
      <c r="E159" s="5" t="n"/>
      <c r="F159" s="6">
        <f>IF(AND(D159&lt;&gt;"",E159&lt;&gt;""),ROUND((E159-D159)*1440,0),"")</f>
        <v/>
      </c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6">
        <f>IF(C159="착유장",기준값!$B$3,IF(C159="건유·육성우동",기준값!$B$2,""))</f>
        <v/>
      </c>
      <c r="V159" s="6">
        <f>IF(AND(F159&lt;&gt;"",F159&gt;0,U159&lt;&gt;""),ROUND((U159-N(K159))/(F159/60),0),"")</f>
        <v/>
      </c>
      <c r="W159" s="6">
        <f>IF(U159&lt;&gt;"",ROUND(N(K159)/U159*100,1),"")</f>
        <v/>
      </c>
    </row>
    <row r="160">
      <c r="A160" s="3" t="n"/>
      <c r="B160" s="4" t="n"/>
      <c r="C160" s="4" t="n"/>
      <c r="D160" s="5" t="n"/>
      <c r="E160" s="5" t="n"/>
      <c r="F160" s="6">
        <f>IF(AND(D160&lt;&gt;"",E160&lt;&gt;""),ROUND((E160-D160)*1440,0),"")</f>
        <v/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6">
        <f>IF(C160="착유장",기준값!$B$3,IF(C160="건유·육성우동",기준값!$B$2,""))</f>
        <v/>
      </c>
      <c r="V160" s="6">
        <f>IF(AND(F160&lt;&gt;"",F160&gt;0,U160&lt;&gt;""),ROUND((U160-N(K160))/(F160/60),0),"")</f>
        <v/>
      </c>
      <c r="W160" s="6">
        <f>IF(U160&lt;&gt;"",ROUND(N(K160)/U160*100,1),"")</f>
        <v/>
      </c>
    </row>
    <row r="161">
      <c r="A161" s="3" t="n"/>
      <c r="B161" s="4" t="n"/>
      <c r="C161" s="4" t="n"/>
      <c r="D161" s="5" t="n"/>
      <c r="E161" s="5" t="n"/>
      <c r="F161" s="6">
        <f>IF(AND(D161&lt;&gt;"",E161&lt;&gt;""),ROUND((E161-D161)*1440,0),"")</f>
        <v/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6">
        <f>IF(C161="착유장",기준값!$B$3,IF(C161="건유·육성우동",기준값!$B$2,""))</f>
        <v/>
      </c>
      <c r="V161" s="6">
        <f>IF(AND(F161&lt;&gt;"",F161&gt;0,U161&lt;&gt;""),ROUND((U161-N(K161))/(F161/60),0),"")</f>
        <v/>
      </c>
      <c r="W161" s="6">
        <f>IF(U161&lt;&gt;"",ROUND(N(K161)/U161*100,1),"")</f>
        <v/>
      </c>
    </row>
    <row r="162">
      <c r="A162" s="3" t="n"/>
      <c r="B162" s="4" t="n"/>
      <c r="C162" s="4" t="n"/>
      <c r="D162" s="5" t="n"/>
      <c r="E162" s="5" t="n"/>
      <c r="F162" s="6">
        <f>IF(AND(D162&lt;&gt;"",E162&lt;&gt;""),ROUND((E162-D162)*1440,0),"")</f>
        <v/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6">
        <f>IF(C162="착유장",기준값!$B$3,IF(C162="건유·육성우동",기준값!$B$2,""))</f>
        <v/>
      </c>
      <c r="V162" s="6">
        <f>IF(AND(F162&lt;&gt;"",F162&gt;0,U162&lt;&gt;""),ROUND((U162-N(K162))/(F162/60),0),"")</f>
        <v/>
      </c>
      <c r="W162" s="6">
        <f>IF(U162&lt;&gt;"",ROUND(N(K162)/U162*100,1),"")</f>
        <v/>
      </c>
    </row>
    <row r="163">
      <c r="A163" s="3" t="n"/>
      <c r="B163" s="4" t="n"/>
      <c r="C163" s="4" t="n"/>
      <c r="D163" s="5" t="n"/>
      <c r="E163" s="5" t="n"/>
      <c r="F163" s="6">
        <f>IF(AND(D163&lt;&gt;"",E163&lt;&gt;""),ROUND((E163-D163)*1440,0),"")</f>
        <v/>
      </c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6">
        <f>IF(C163="착유장",기준값!$B$3,IF(C163="건유·육성우동",기준값!$B$2,""))</f>
        <v/>
      </c>
      <c r="V163" s="6">
        <f>IF(AND(F163&lt;&gt;"",F163&gt;0,U163&lt;&gt;""),ROUND((U163-N(K163))/(F163/60),0),"")</f>
        <v/>
      </c>
      <c r="W163" s="6">
        <f>IF(U163&lt;&gt;"",ROUND(N(K163)/U163*100,1),"")</f>
        <v/>
      </c>
    </row>
    <row r="164">
      <c r="A164" s="3" t="n"/>
      <c r="B164" s="4" t="n"/>
      <c r="C164" s="4" t="n"/>
      <c r="D164" s="5" t="n"/>
      <c r="E164" s="5" t="n"/>
      <c r="F164" s="6">
        <f>IF(AND(D164&lt;&gt;"",E164&lt;&gt;""),ROUND((E164-D164)*1440,0),"")</f>
        <v/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6">
        <f>IF(C164="착유장",기준값!$B$3,IF(C164="건유·육성우동",기준값!$B$2,""))</f>
        <v/>
      </c>
      <c r="V164" s="6">
        <f>IF(AND(F164&lt;&gt;"",F164&gt;0,U164&lt;&gt;""),ROUND((U164-N(K164))/(F164/60),0),"")</f>
        <v/>
      </c>
      <c r="W164" s="6">
        <f>IF(U164&lt;&gt;"",ROUND(N(K164)/U164*100,1),"")</f>
        <v/>
      </c>
    </row>
    <row r="165">
      <c r="A165" s="3" t="n"/>
      <c r="B165" s="4" t="n"/>
      <c r="C165" s="4" t="n"/>
      <c r="D165" s="5" t="n"/>
      <c r="E165" s="5" t="n"/>
      <c r="F165" s="6">
        <f>IF(AND(D165&lt;&gt;"",E165&lt;&gt;""),ROUND((E165-D165)*1440,0),"")</f>
        <v/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6">
        <f>IF(C165="착유장",기준값!$B$3,IF(C165="건유·육성우동",기준값!$B$2,""))</f>
        <v/>
      </c>
      <c r="V165" s="6">
        <f>IF(AND(F165&lt;&gt;"",F165&gt;0,U165&lt;&gt;""),ROUND((U165-N(K165))/(F165/60),0),"")</f>
        <v/>
      </c>
      <c r="W165" s="6">
        <f>IF(U165&lt;&gt;"",ROUND(N(K165)/U165*100,1),"")</f>
        <v/>
      </c>
    </row>
    <row r="166">
      <c r="A166" s="3" t="n"/>
      <c r="B166" s="4" t="n"/>
      <c r="C166" s="4" t="n"/>
      <c r="D166" s="5" t="n"/>
      <c r="E166" s="5" t="n"/>
      <c r="F166" s="6">
        <f>IF(AND(D166&lt;&gt;"",E166&lt;&gt;""),ROUND((E166-D166)*1440,0),"")</f>
        <v/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6">
        <f>IF(C166="착유장",기준값!$B$3,IF(C166="건유·육성우동",기준값!$B$2,""))</f>
        <v/>
      </c>
      <c r="V166" s="6">
        <f>IF(AND(F166&lt;&gt;"",F166&gt;0,U166&lt;&gt;""),ROUND((U166-N(K166))/(F166/60),0),"")</f>
        <v/>
      </c>
      <c r="W166" s="6">
        <f>IF(U166&lt;&gt;"",ROUND(N(K166)/U166*100,1),"")</f>
        <v/>
      </c>
    </row>
    <row r="167">
      <c r="A167" s="3" t="n"/>
      <c r="B167" s="4" t="n"/>
      <c r="C167" s="4" t="n"/>
      <c r="D167" s="5" t="n"/>
      <c r="E167" s="5" t="n"/>
      <c r="F167" s="6">
        <f>IF(AND(D167&lt;&gt;"",E167&lt;&gt;""),ROUND((E167-D167)*1440,0),"")</f>
        <v/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6">
        <f>IF(C167="착유장",기준값!$B$3,IF(C167="건유·육성우동",기준값!$B$2,""))</f>
        <v/>
      </c>
      <c r="V167" s="6">
        <f>IF(AND(F167&lt;&gt;"",F167&gt;0,U167&lt;&gt;""),ROUND((U167-N(K167))/(F167/60),0),"")</f>
        <v/>
      </c>
      <c r="W167" s="6">
        <f>IF(U167&lt;&gt;"",ROUND(N(K167)/U167*100,1),"")</f>
        <v/>
      </c>
    </row>
    <row r="168">
      <c r="A168" s="3" t="n"/>
      <c r="B168" s="4" t="n"/>
      <c r="C168" s="4" t="n"/>
      <c r="D168" s="5" t="n"/>
      <c r="E168" s="5" t="n"/>
      <c r="F168" s="6">
        <f>IF(AND(D168&lt;&gt;"",E168&lt;&gt;""),ROUND((E168-D168)*1440,0),"")</f>
        <v/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6">
        <f>IF(C168="착유장",기준값!$B$3,IF(C168="건유·육성우동",기준값!$B$2,""))</f>
        <v/>
      </c>
      <c r="V168" s="6">
        <f>IF(AND(F168&lt;&gt;"",F168&gt;0,U168&lt;&gt;""),ROUND((U168-N(K168))/(F168/60),0),"")</f>
        <v/>
      </c>
      <c r="W168" s="6">
        <f>IF(U168&lt;&gt;"",ROUND(N(K168)/U168*100,1),"")</f>
        <v/>
      </c>
    </row>
    <row r="169">
      <c r="A169" s="3" t="n"/>
      <c r="B169" s="4" t="n"/>
      <c r="C169" s="4" t="n"/>
      <c r="D169" s="5" t="n"/>
      <c r="E169" s="5" t="n"/>
      <c r="F169" s="6">
        <f>IF(AND(D169&lt;&gt;"",E169&lt;&gt;""),ROUND((E169-D169)*1440,0),"")</f>
        <v/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6">
        <f>IF(C169="착유장",기준값!$B$3,IF(C169="건유·육성우동",기준값!$B$2,""))</f>
        <v/>
      </c>
      <c r="V169" s="6">
        <f>IF(AND(F169&lt;&gt;"",F169&gt;0,U169&lt;&gt;""),ROUND((U169-N(K169))/(F169/60),0),"")</f>
        <v/>
      </c>
      <c r="W169" s="6">
        <f>IF(U169&lt;&gt;"",ROUND(N(K169)/U169*100,1),"")</f>
        <v/>
      </c>
    </row>
    <row r="170">
      <c r="A170" s="3" t="n"/>
      <c r="B170" s="4" t="n"/>
      <c r="C170" s="4" t="n"/>
      <c r="D170" s="5" t="n"/>
      <c r="E170" s="5" t="n"/>
      <c r="F170" s="6">
        <f>IF(AND(D170&lt;&gt;"",E170&lt;&gt;""),ROUND((E170-D170)*1440,0),"")</f>
        <v/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6">
        <f>IF(C170="착유장",기준값!$B$3,IF(C170="건유·육성우동",기준값!$B$2,""))</f>
        <v/>
      </c>
      <c r="V170" s="6">
        <f>IF(AND(F170&lt;&gt;"",F170&gt;0,U170&lt;&gt;""),ROUND((U170-N(K170))/(F170/60),0),"")</f>
        <v/>
      </c>
      <c r="W170" s="6">
        <f>IF(U170&lt;&gt;"",ROUND(N(K170)/U170*100,1),"")</f>
        <v/>
      </c>
    </row>
    <row r="171">
      <c r="A171" s="3" t="n"/>
      <c r="B171" s="4" t="n"/>
      <c r="C171" s="4" t="n"/>
      <c r="D171" s="5" t="n"/>
      <c r="E171" s="5" t="n"/>
      <c r="F171" s="6">
        <f>IF(AND(D171&lt;&gt;"",E171&lt;&gt;""),ROUND((E171-D171)*1440,0),"")</f>
        <v/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6">
        <f>IF(C171="착유장",기준값!$B$3,IF(C171="건유·육성우동",기준값!$B$2,""))</f>
        <v/>
      </c>
      <c r="V171" s="6">
        <f>IF(AND(F171&lt;&gt;"",F171&gt;0,U171&lt;&gt;""),ROUND((U171-N(K171))/(F171/60),0),"")</f>
        <v/>
      </c>
      <c r="W171" s="6">
        <f>IF(U171&lt;&gt;"",ROUND(N(K171)/U171*100,1),"")</f>
        <v/>
      </c>
    </row>
    <row r="172">
      <c r="A172" s="3" t="n"/>
      <c r="B172" s="4" t="n"/>
      <c r="C172" s="4" t="n"/>
      <c r="D172" s="5" t="n"/>
      <c r="E172" s="5" t="n"/>
      <c r="F172" s="6">
        <f>IF(AND(D172&lt;&gt;"",E172&lt;&gt;""),ROUND((E172-D172)*1440,0),"")</f>
        <v/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6">
        <f>IF(C172="착유장",기준값!$B$3,IF(C172="건유·육성우동",기준값!$B$2,""))</f>
        <v/>
      </c>
      <c r="V172" s="6">
        <f>IF(AND(F172&lt;&gt;"",F172&gt;0,U172&lt;&gt;""),ROUND((U172-N(K172))/(F172/60),0),"")</f>
        <v/>
      </c>
      <c r="W172" s="6">
        <f>IF(U172&lt;&gt;"",ROUND(N(K172)/U172*100,1),"")</f>
        <v/>
      </c>
    </row>
    <row r="173">
      <c r="A173" s="3" t="n"/>
      <c r="B173" s="4" t="n"/>
      <c r="C173" s="4" t="n"/>
      <c r="D173" s="5" t="n"/>
      <c r="E173" s="5" t="n"/>
      <c r="F173" s="6">
        <f>IF(AND(D173&lt;&gt;"",E173&lt;&gt;""),ROUND((E173-D173)*1440,0),"")</f>
        <v/>
      </c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6">
        <f>IF(C173="착유장",기준값!$B$3,IF(C173="건유·육성우동",기준값!$B$2,""))</f>
        <v/>
      </c>
      <c r="V173" s="6">
        <f>IF(AND(F173&lt;&gt;"",F173&gt;0,U173&lt;&gt;""),ROUND((U173-N(K173))/(F173/60),0),"")</f>
        <v/>
      </c>
      <c r="W173" s="6">
        <f>IF(U173&lt;&gt;"",ROUND(N(K173)/U173*100,1),"")</f>
        <v/>
      </c>
    </row>
    <row r="174">
      <c r="A174" s="3" t="n"/>
      <c r="B174" s="4" t="n"/>
      <c r="C174" s="4" t="n"/>
      <c r="D174" s="5" t="n"/>
      <c r="E174" s="5" t="n"/>
      <c r="F174" s="6">
        <f>IF(AND(D174&lt;&gt;"",E174&lt;&gt;""),ROUND((E174-D174)*1440,0),"")</f>
        <v/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6">
        <f>IF(C174="착유장",기준값!$B$3,IF(C174="건유·육성우동",기준값!$B$2,""))</f>
        <v/>
      </c>
      <c r="V174" s="6">
        <f>IF(AND(F174&lt;&gt;"",F174&gt;0,U174&lt;&gt;""),ROUND((U174-N(K174))/(F174/60),0),"")</f>
        <v/>
      </c>
      <c r="W174" s="6">
        <f>IF(U174&lt;&gt;"",ROUND(N(K174)/U174*100,1),"")</f>
        <v/>
      </c>
    </row>
    <row r="175">
      <c r="A175" s="3" t="n"/>
      <c r="B175" s="4" t="n"/>
      <c r="C175" s="4" t="n"/>
      <c r="D175" s="5" t="n"/>
      <c r="E175" s="5" t="n"/>
      <c r="F175" s="6">
        <f>IF(AND(D175&lt;&gt;"",E175&lt;&gt;""),ROUND((E175-D175)*1440,0),"")</f>
        <v/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6">
        <f>IF(C175="착유장",기준값!$B$3,IF(C175="건유·육성우동",기준값!$B$2,""))</f>
        <v/>
      </c>
      <c r="V175" s="6">
        <f>IF(AND(F175&lt;&gt;"",F175&gt;0,U175&lt;&gt;""),ROUND((U175-N(K175))/(F175/60),0),"")</f>
        <v/>
      </c>
      <c r="W175" s="6">
        <f>IF(U175&lt;&gt;"",ROUND(N(K175)/U175*100,1),"")</f>
        <v/>
      </c>
    </row>
    <row r="176">
      <c r="A176" s="3" t="n"/>
      <c r="B176" s="4" t="n"/>
      <c r="C176" s="4" t="n"/>
      <c r="D176" s="5" t="n"/>
      <c r="E176" s="5" t="n"/>
      <c r="F176" s="6">
        <f>IF(AND(D176&lt;&gt;"",E176&lt;&gt;""),ROUND((E176-D176)*1440,0),"")</f>
        <v/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6">
        <f>IF(C176="착유장",기준값!$B$3,IF(C176="건유·육성우동",기준값!$B$2,""))</f>
        <v/>
      </c>
      <c r="V176" s="6">
        <f>IF(AND(F176&lt;&gt;"",F176&gt;0,U176&lt;&gt;""),ROUND((U176-N(K176))/(F176/60),0),"")</f>
        <v/>
      </c>
      <c r="W176" s="6">
        <f>IF(U176&lt;&gt;"",ROUND(N(K176)/U176*100,1),"")</f>
        <v/>
      </c>
    </row>
    <row r="177">
      <c r="A177" s="3" t="n"/>
      <c r="B177" s="4" t="n"/>
      <c r="C177" s="4" t="n"/>
      <c r="D177" s="5" t="n"/>
      <c r="E177" s="5" t="n"/>
      <c r="F177" s="6">
        <f>IF(AND(D177&lt;&gt;"",E177&lt;&gt;""),ROUND((E177-D177)*1440,0),"")</f>
        <v/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6">
        <f>IF(C177="착유장",기준값!$B$3,IF(C177="건유·육성우동",기준값!$B$2,""))</f>
        <v/>
      </c>
      <c r="V177" s="6">
        <f>IF(AND(F177&lt;&gt;"",F177&gt;0,U177&lt;&gt;""),ROUND((U177-N(K177))/(F177/60),0),"")</f>
        <v/>
      </c>
      <c r="W177" s="6">
        <f>IF(U177&lt;&gt;"",ROUND(N(K177)/U177*100,1),"")</f>
        <v/>
      </c>
    </row>
    <row r="178">
      <c r="A178" s="3" t="n"/>
      <c r="B178" s="4" t="n"/>
      <c r="C178" s="4" t="n"/>
      <c r="D178" s="5" t="n"/>
      <c r="E178" s="5" t="n"/>
      <c r="F178" s="6">
        <f>IF(AND(D178&lt;&gt;"",E178&lt;&gt;""),ROUND((E178-D178)*1440,0),"")</f>
        <v/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6">
        <f>IF(C178="착유장",기준값!$B$3,IF(C178="건유·육성우동",기준값!$B$2,""))</f>
        <v/>
      </c>
      <c r="V178" s="6">
        <f>IF(AND(F178&lt;&gt;"",F178&gt;0,U178&lt;&gt;""),ROUND((U178-N(K178))/(F178/60),0),"")</f>
        <v/>
      </c>
      <c r="W178" s="6">
        <f>IF(U178&lt;&gt;"",ROUND(N(K178)/U178*100,1),"")</f>
        <v/>
      </c>
    </row>
    <row r="179">
      <c r="A179" s="3" t="n"/>
      <c r="B179" s="4" t="n"/>
      <c r="C179" s="4" t="n"/>
      <c r="D179" s="5" t="n"/>
      <c r="E179" s="5" t="n"/>
      <c r="F179" s="6">
        <f>IF(AND(D179&lt;&gt;"",E179&lt;&gt;""),ROUND((E179-D179)*1440,0),"")</f>
        <v/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6">
        <f>IF(C179="착유장",기준값!$B$3,IF(C179="건유·육성우동",기준값!$B$2,""))</f>
        <v/>
      </c>
      <c r="V179" s="6">
        <f>IF(AND(F179&lt;&gt;"",F179&gt;0,U179&lt;&gt;""),ROUND((U179-N(K179))/(F179/60),0),"")</f>
        <v/>
      </c>
      <c r="W179" s="6">
        <f>IF(U179&lt;&gt;"",ROUND(N(K179)/U179*100,1),"")</f>
        <v/>
      </c>
    </row>
    <row r="180">
      <c r="A180" s="3" t="n"/>
      <c r="B180" s="4" t="n"/>
      <c r="C180" s="4" t="n"/>
      <c r="D180" s="5" t="n"/>
      <c r="E180" s="5" t="n"/>
      <c r="F180" s="6">
        <f>IF(AND(D180&lt;&gt;"",E180&lt;&gt;""),ROUND((E180-D180)*1440,0),"")</f>
        <v/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6">
        <f>IF(C180="착유장",기준값!$B$3,IF(C180="건유·육성우동",기준값!$B$2,""))</f>
        <v/>
      </c>
      <c r="V180" s="6">
        <f>IF(AND(F180&lt;&gt;"",F180&gt;0,U180&lt;&gt;""),ROUND((U180-N(K180))/(F180/60),0),"")</f>
        <v/>
      </c>
      <c r="W180" s="6">
        <f>IF(U180&lt;&gt;"",ROUND(N(K180)/U180*100,1),"")</f>
        <v/>
      </c>
    </row>
    <row r="181">
      <c r="A181" s="3" t="n"/>
      <c r="B181" s="4" t="n"/>
      <c r="C181" s="4" t="n"/>
      <c r="D181" s="5" t="n"/>
      <c r="E181" s="5" t="n"/>
      <c r="F181" s="6">
        <f>IF(AND(D181&lt;&gt;"",E181&lt;&gt;""),ROUND((E181-D181)*1440,0),"")</f>
        <v/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6">
        <f>IF(C181="착유장",기준값!$B$3,IF(C181="건유·육성우동",기준값!$B$2,""))</f>
        <v/>
      </c>
      <c r="V181" s="6">
        <f>IF(AND(F181&lt;&gt;"",F181&gt;0,U181&lt;&gt;""),ROUND((U181-N(K181))/(F181/60),0),"")</f>
        <v/>
      </c>
      <c r="W181" s="6">
        <f>IF(U181&lt;&gt;"",ROUND(N(K181)/U181*100,1),"")</f>
        <v/>
      </c>
    </row>
    <row r="182">
      <c r="A182" s="3" t="n"/>
      <c r="B182" s="4" t="n"/>
      <c r="C182" s="4" t="n"/>
      <c r="D182" s="5" t="n"/>
      <c r="E182" s="5" t="n"/>
      <c r="F182" s="6">
        <f>IF(AND(D182&lt;&gt;"",E182&lt;&gt;""),ROUND((E182-D182)*1440,0),"")</f>
        <v/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6">
        <f>IF(C182="착유장",기준값!$B$3,IF(C182="건유·육성우동",기준값!$B$2,""))</f>
        <v/>
      </c>
      <c r="V182" s="6">
        <f>IF(AND(F182&lt;&gt;"",F182&gt;0,U182&lt;&gt;""),ROUND((U182-N(K182))/(F182/60),0),"")</f>
        <v/>
      </c>
      <c r="W182" s="6">
        <f>IF(U182&lt;&gt;"",ROUND(N(K182)/U182*100,1),"")</f>
        <v/>
      </c>
    </row>
    <row r="183">
      <c r="A183" s="3" t="n"/>
      <c r="B183" s="4" t="n"/>
      <c r="C183" s="4" t="n"/>
      <c r="D183" s="5" t="n"/>
      <c r="E183" s="5" t="n"/>
      <c r="F183" s="6">
        <f>IF(AND(D183&lt;&gt;"",E183&lt;&gt;""),ROUND((E183-D183)*1440,0),"")</f>
        <v/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6">
        <f>IF(C183="착유장",기준값!$B$3,IF(C183="건유·육성우동",기준값!$B$2,""))</f>
        <v/>
      </c>
      <c r="V183" s="6">
        <f>IF(AND(F183&lt;&gt;"",F183&gt;0,U183&lt;&gt;""),ROUND((U183-N(K183))/(F183/60),0),"")</f>
        <v/>
      </c>
      <c r="W183" s="6">
        <f>IF(U183&lt;&gt;"",ROUND(N(K183)/U183*100,1),"")</f>
        <v/>
      </c>
    </row>
    <row r="184">
      <c r="A184" s="3" t="n"/>
      <c r="B184" s="4" t="n"/>
      <c r="C184" s="4" t="n"/>
      <c r="D184" s="5" t="n"/>
      <c r="E184" s="5" t="n"/>
      <c r="F184" s="6">
        <f>IF(AND(D184&lt;&gt;"",E184&lt;&gt;""),ROUND((E184-D184)*1440,0),"")</f>
        <v/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6">
        <f>IF(C184="착유장",기준값!$B$3,IF(C184="건유·육성우동",기준값!$B$2,""))</f>
        <v/>
      </c>
      <c r="V184" s="6">
        <f>IF(AND(F184&lt;&gt;"",F184&gt;0,U184&lt;&gt;""),ROUND((U184-N(K184))/(F184/60),0),"")</f>
        <v/>
      </c>
      <c r="W184" s="6">
        <f>IF(U184&lt;&gt;"",ROUND(N(K184)/U184*100,1),"")</f>
        <v/>
      </c>
    </row>
    <row r="185">
      <c r="A185" s="3" t="n"/>
      <c r="B185" s="4" t="n"/>
      <c r="C185" s="4" t="n"/>
      <c r="D185" s="5" t="n"/>
      <c r="E185" s="5" t="n"/>
      <c r="F185" s="6">
        <f>IF(AND(D185&lt;&gt;"",E185&lt;&gt;""),ROUND((E185-D185)*1440,0),"")</f>
        <v/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6">
        <f>IF(C185="착유장",기준값!$B$3,IF(C185="건유·육성우동",기준값!$B$2,""))</f>
        <v/>
      </c>
      <c r="V185" s="6">
        <f>IF(AND(F185&lt;&gt;"",F185&gt;0,U185&lt;&gt;""),ROUND((U185-N(K185))/(F185/60),0),"")</f>
        <v/>
      </c>
      <c r="W185" s="6">
        <f>IF(U185&lt;&gt;"",ROUND(N(K185)/U185*100,1),"")</f>
        <v/>
      </c>
    </row>
    <row r="186">
      <c r="A186" s="3" t="n"/>
      <c r="B186" s="4" t="n"/>
      <c r="C186" s="4" t="n"/>
      <c r="D186" s="5" t="n"/>
      <c r="E186" s="5" t="n"/>
      <c r="F186" s="6">
        <f>IF(AND(D186&lt;&gt;"",E186&lt;&gt;""),ROUND((E186-D186)*1440,0),"")</f>
        <v/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6">
        <f>IF(C186="착유장",기준값!$B$3,IF(C186="건유·육성우동",기준값!$B$2,""))</f>
        <v/>
      </c>
      <c r="V186" s="6">
        <f>IF(AND(F186&lt;&gt;"",F186&gt;0,U186&lt;&gt;""),ROUND((U186-N(K186))/(F186/60),0),"")</f>
        <v/>
      </c>
      <c r="W186" s="6">
        <f>IF(U186&lt;&gt;"",ROUND(N(K186)/U186*100,1),"")</f>
        <v/>
      </c>
    </row>
    <row r="187">
      <c r="A187" s="3" t="n"/>
      <c r="B187" s="4" t="n"/>
      <c r="C187" s="4" t="n"/>
      <c r="D187" s="5" t="n"/>
      <c r="E187" s="5" t="n"/>
      <c r="F187" s="6">
        <f>IF(AND(D187&lt;&gt;"",E187&lt;&gt;""),ROUND((E187-D187)*1440,0),"")</f>
        <v/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6">
        <f>IF(C187="착유장",기준값!$B$3,IF(C187="건유·육성우동",기준값!$B$2,""))</f>
        <v/>
      </c>
      <c r="V187" s="6">
        <f>IF(AND(F187&lt;&gt;"",F187&gt;0,U187&lt;&gt;""),ROUND((U187-N(K187))/(F187/60),0),"")</f>
        <v/>
      </c>
      <c r="W187" s="6">
        <f>IF(U187&lt;&gt;"",ROUND(N(K187)/U187*100,1),"")</f>
        <v/>
      </c>
    </row>
    <row r="188">
      <c r="A188" s="3" t="n"/>
      <c r="B188" s="4" t="n"/>
      <c r="C188" s="4" t="n"/>
      <c r="D188" s="5" t="n"/>
      <c r="E188" s="5" t="n"/>
      <c r="F188" s="6">
        <f>IF(AND(D188&lt;&gt;"",E188&lt;&gt;""),ROUND((E188-D188)*1440,0),"")</f>
        <v/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6">
        <f>IF(C188="착유장",기준값!$B$3,IF(C188="건유·육성우동",기준값!$B$2,""))</f>
        <v/>
      </c>
      <c r="V188" s="6">
        <f>IF(AND(F188&lt;&gt;"",F188&gt;0,U188&lt;&gt;""),ROUND((U188-N(K188))/(F188/60),0),"")</f>
        <v/>
      </c>
      <c r="W188" s="6">
        <f>IF(U188&lt;&gt;"",ROUND(N(K188)/U188*100,1),"")</f>
        <v/>
      </c>
    </row>
    <row r="189">
      <c r="A189" s="3" t="n"/>
      <c r="B189" s="4" t="n"/>
      <c r="C189" s="4" t="n"/>
      <c r="D189" s="5" t="n"/>
      <c r="E189" s="5" t="n"/>
      <c r="F189" s="6">
        <f>IF(AND(D189&lt;&gt;"",E189&lt;&gt;""),ROUND((E189-D189)*1440,0),"")</f>
        <v/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6">
        <f>IF(C189="착유장",기준값!$B$3,IF(C189="건유·육성우동",기준값!$B$2,""))</f>
        <v/>
      </c>
      <c r="V189" s="6">
        <f>IF(AND(F189&lt;&gt;"",F189&gt;0,U189&lt;&gt;""),ROUND((U189-N(K189))/(F189/60),0),"")</f>
        <v/>
      </c>
      <c r="W189" s="6">
        <f>IF(U189&lt;&gt;"",ROUND(N(K189)/U189*100,1),"")</f>
        <v/>
      </c>
    </row>
    <row r="190">
      <c r="A190" s="3" t="n"/>
      <c r="B190" s="4" t="n"/>
      <c r="C190" s="4" t="n"/>
      <c r="D190" s="5" t="n"/>
      <c r="E190" s="5" t="n"/>
      <c r="F190" s="6">
        <f>IF(AND(D190&lt;&gt;"",E190&lt;&gt;""),ROUND((E190-D190)*1440,0),"")</f>
        <v/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6">
        <f>IF(C190="착유장",기준값!$B$3,IF(C190="건유·육성우동",기준값!$B$2,""))</f>
        <v/>
      </c>
      <c r="V190" s="6">
        <f>IF(AND(F190&lt;&gt;"",F190&gt;0,U190&lt;&gt;""),ROUND((U190-N(K190))/(F190/60),0),"")</f>
        <v/>
      </c>
      <c r="W190" s="6">
        <f>IF(U190&lt;&gt;"",ROUND(N(K190)/U190*100,1),"")</f>
        <v/>
      </c>
    </row>
    <row r="191">
      <c r="A191" s="3" t="n"/>
      <c r="B191" s="4" t="n"/>
      <c r="C191" s="4" t="n"/>
      <c r="D191" s="5" t="n"/>
      <c r="E191" s="5" t="n"/>
      <c r="F191" s="6">
        <f>IF(AND(D191&lt;&gt;"",E191&lt;&gt;""),ROUND((E191-D191)*1440,0),"")</f>
        <v/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6">
        <f>IF(C191="착유장",기준값!$B$3,IF(C191="건유·육성우동",기준값!$B$2,""))</f>
        <v/>
      </c>
      <c r="V191" s="6">
        <f>IF(AND(F191&lt;&gt;"",F191&gt;0,U191&lt;&gt;""),ROUND((U191-N(K191))/(F191/60),0),"")</f>
        <v/>
      </c>
      <c r="W191" s="6">
        <f>IF(U191&lt;&gt;"",ROUND(N(K191)/U191*100,1),"")</f>
        <v/>
      </c>
    </row>
    <row r="192">
      <c r="A192" s="3" t="n"/>
      <c r="B192" s="4" t="n"/>
      <c r="C192" s="4" t="n"/>
      <c r="D192" s="5" t="n"/>
      <c r="E192" s="5" t="n"/>
      <c r="F192" s="6">
        <f>IF(AND(D192&lt;&gt;"",E192&lt;&gt;""),ROUND((E192-D192)*1440,0),"")</f>
        <v/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6">
        <f>IF(C192="착유장",기준값!$B$3,IF(C192="건유·육성우동",기준값!$B$2,""))</f>
        <v/>
      </c>
      <c r="V192" s="6">
        <f>IF(AND(F192&lt;&gt;"",F192&gt;0,U192&lt;&gt;""),ROUND((U192-N(K192))/(F192/60),0),"")</f>
        <v/>
      </c>
      <c r="W192" s="6">
        <f>IF(U192&lt;&gt;"",ROUND(N(K192)/U192*100,1),"")</f>
        <v/>
      </c>
    </row>
    <row r="193">
      <c r="A193" s="3" t="n"/>
      <c r="B193" s="4" t="n"/>
      <c r="C193" s="4" t="n"/>
      <c r="D193" s="5" t="n"/>
      <c r="E193" s="5" t="n"/>
      <c r="F193" s="6">
        <f>IF(AND(D193&lt;&gt;"",E193&lt;&gt;""),ROUND((E193-D193)*1440,0),"")</f>
        <v/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6">
        <f>IF(C193="착유장",기준값!$B$3,IF(C193="건유·육성우동",기준값!$B$2,""))</f>
        <v/>
      </c>
      <c r="V193" s="6">
        <f>IF(AND(F193&lt;&gt;"",F193&gt;0,U193&lt;&gt;""),ROUND((U193-N(K193))/(F193/60),0),"")</f>
        <v/>
      </c>
      <c r="W193" s="6">
        <f>IF(U193&lt;&gt;"",ROUND(N(K193)/U193*100,1),"")</f>
        <v/>
      </c>
    </row>
    <row r="194">
      <c r="A194" s="3" t="n"/>
      <c r="B194" s="4" t="n"/>
      <c r="C194" s="4" t="n"/>
      <c r="D194" s="5" t="n"/>
      <c r="E194" s="5" t="n"/>
      <c r="F194" s="6">
        <f>IF(AND(D194&lt;&gt;"",E194&lt;&gt;""),ROUND((E194-D194)*1440,0),"")</f>
        <v/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6">
        <f>IF(C194="착유장",기준값!$B$3,IF(C194="건유·육성우동",기준값!$B$2,""))</f>
        <v/>
      </c>
      <c r="V194" s="6">
        <f>IF(AND(F194&lt;&gt;"",F194&gt;0,U194&lt;&gt;""),ROUND((U194-N(K194))/(F194/60),0),"")</f>
        <v/>
      </c>
      <c r="W194" s="6">
        <f>IF(U194&lt;&gt;"",ROUND(N(K194)/U194*100,1),"")</f>
        <v/>
      </c>
    </row>
    <row r="195">
      <c r="A195" s="3" t="n"/>
      <c r="B195" s="4" t="n"/>
      <c r="C195" s="4" t="n"/>
      <c r="D195" s="5" t="n"/>
      <c r="E195" s="5" t="n"/>
      <c r="F195" s="6">
        <f>IF(AND(D195&lt;&gt;"",E195&lt;&gt;""),ROUND((E195-D195)*1440,0),"")</f>
        <v/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6">
        <f>IF(C195="착유장",기준값!$B$3,IF(C195="건유·육성우동",기준값!$B$2,""))</f>
        <v/>
      </c>
      <c r="V195" s="6">
        <f>IF(AND(F195&lt;&gt;"",F195&gt;0,U195&lt;&gt;""),ROUND((U195-N(K195))/(F195/60),0),"")</f>
        <v/>
      </c>
      <c r="W195" s="6">
        <f>IF(U195&lt;&gt;"",ROUND(N(K195)/U195*100,1),"")</f>
        <v/>
      </c>
    </row>
    <row r="196">
      <c r="A196" s="3" t="n"/>
      <c r="B196" s="4" t="n"/>
      <c r="C196" s="4" t="n"/>
      <c r="D196" s="5" t="n"/>
      <c r="E196" s="5" t="n"/>
      <c r="F196" s="6">
        <f>IF(AND(D196&lt;&gt;"",E196&lt;&gt;""),ROUND((E196-D196)*1440,0),"")</f>
        <v/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6">
        <f>IF(C196="착유장",기준값!$B$3,IF(C196="건유·육성우동",기준값!$B$2,""))</f>
        <v/>
      </c>
      <c r="V196" s="6">
        <f>IF(AND(F196&lt;&gt;"",F196&gt;0,U196&lt;&gt;""),ROUND((U196-N(K196))/(F196/60),0),"")</f>
        <v/>
      </c>
      <c r="W196" s="6">
        <f>IF(U196&lt;&gt;"",ROUND(N(K196)/U196*100,1),"")</f>
        <v/>
      </c>
    </row>
    <row r="197">
      <c r="A197" s="3" t="n"/>
      <c r="B197" s="4" t="n"/>
      <c r="C197" s="4" t="n"/>
      <c r="D197" s="5" t="n"/>
      <c r="E197" s="5" t="n"/>
      <c r="F197" s="6">
        <f>IF(AND(D197&lt;&gt;"",E197&lt;&gt;""),ROUND((E197-D197)*1440,0),"")</f>
        <v/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6">
        <f>IF(C197="착유장",기준값!$B$3,IF(C197="건유·육성우동",기준값!$B$2,""))</f>
        <v/>
      </c>
      <c r="V197" s="6">
        <f>IF(AND(F197&lt;&gt;"",F197&gt;0,U197&lt;&gt;""),ROUND((U197-N(K197))/(F197/60),0),"")</f>
        <v/>
      </c>
      <c r="W197" s="6">
        <f>IF(U197&lt;&gt;"",ROUND(N(K197)/U197*100,1),"")</f>
        <v/>
      </c>
    </row>
    <row r="198">
      <c r="A198" s="3" t="n"/>
      <c r="B198" s="4" t="n"/>
      <c r="C198" s="4" t="n"/>
      <c r="D198" s="5" t="n"/>
      <c r="E198" s="5" t="n"/>
      <c r="F198" s="6">
        <f>IF(AND(D198&lt;&gt;"",E198&lt;&gt;""),ROUND((E198-D198)*1440,0),"")</f>
        <v/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6">
        <f>IF(C198="착유장",기준값!$B$3,IF(C198="건유·육성우동",기준값!$B$2,""))</f>
        <v/>
      </c>
      <c r="V198" s="6">
        <f>IF(AND(F198&lt;&gt;"",F198&gt;0,U198&lt;&gt;""),ROUND((U198-N(K198))/(F198/60),0),"")</f>
        <v/>
      </c>
      <c r="W198" s="6">
        <f>IF(U198&lt;&gt;"",ROUND(N(K198)/U198*100,1),"")</f>
        <v/>
      </c>
    </row>
    <row r="199">
      <c r="A199" s="3" t="n"/>
      <c r="B199" s="4" t="n"/>
      <c r="C199" s="4" t="n"/>
      <c r="D199" s="5" t="n"/>
      <c r="E199" s="5" t="n"/>
      <c r="F199" s="6">
        <f>IF(AND(D199&lt;&gt;"",E199&lt;&gt;""),ROUND((E199-D199)*1440,0),"")</f>
        <v/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6">
        <f>IF(C199="착유장",기준값!$B$3,IF(C199="건유·육성우동",기준값!$B$2,""))</f>
        <v/>
      </c>
      <c r="V199" s="6">
        <f>IF(AND(F199&lt;&gt;"",F199&gt;0,U199&lt;&gt;""),ROUND((U199-N(K199))/(F199/60),0),"")</f>
        <v/>
      </c>
      <c r="W199" s="6">
        <f>IF(U199&lt;&gt;"",ROUND(N(K199)/U199*100,1),"")</f>
        <v/>
      </c>
    </row>
    <row r="200">
      <c r="A200" s="3" t="n"/>
      <c r="B200" s="4" t="n"/>
      <c r="C200" s="4" t="n"/>
      <c r="D200" s="5" t="n"/>
      <c r="E200" s="5" t="n"/>
      <c r="F200" s="6">
        <f>IF(AND(D200&lt;&gt;"",E200&lt;&gt;""),ROUND((E200-D200)*1440,0),"")</f>
        <v/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6">
        <f>IF(C200="착유장",기준값!$B$3,IF(C200="건유·육성우동",기준값!$B$2,""))</f>
        <v/>
      </c>
      <c r="V200" s="6">
        <f>IF(AND(F200&lt;&gt;"",F200&gt;0,U200&lt;&gt;""),ROUND((U200-N(K200))/(F200/60),0),"")</f>
        <v/>
      </c>
      <c r="W200" s="6">
        <f>IF(U200&lt;&gt;"",ROUND(N(K200)/U200*100,1),"")</f>
        <v/>
      </c>
    </row>
    <row r="201">
      <c r="A201" s="3" t="n"/>
      <c r="B201" s="4" t="n"/>
      <c r="C201" s="4" t="n"/>
      <c r="D201" s="5" t="n"/>
      <c r="E201" s="5" t="n"/>
      <c r="F201" s="6">
        <f>IF(AND(D201&lt;&gt;"",E201&lt;&gt;""),ROUND((E201-D201)*1440,0),"")</f>
        <v/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6">
        <f>IF(C201="착유장",기준값!$B$3,IF(C201="건유·육성우동",기준값!$B$2,""))</f>
        <v/>
      </c>
      <c r="V201" s="6">
        <f>IF(AND(F201&lt;&gt;"",F201&gt;0,U201&lt;&gt;""),ROUND((U201-N(K201))/(F201/60),0),"")</f>
        <v/>
      </c>
      <c r="W201" s="6">
        <f>IF(U201&lt;&gt;"",ROUND(N(K201)/U201*100,1),"")</f>
        <v/>
      </c>
    </row>
    <row r="202">
      <c r="A202" s="3" t="n"/>
      <c r="B202" s="4" t="n"/>
      <c r="C202" s="4" t="n"/>
      <c r="D202" s="5" t="n"/>
      <c r="E202" s="5" t="n"/>
      <c r="F202" s="6">
        <f>IF(AND(D202&lt;&gt;"",E202&lt;&gt;""),ROUND((E202-D202)*1440,0),"")</f>
        <v/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6">
        <f>IF(C202="착유장",기준값!$B$3,IF(C202="건유·육성우동",기준값!$B$2,""))</f>
        <v/>
      </c>
      <c r="V202" s="6">
        <f>IF(AND(F202&lt;&gt;"",F202&gt;0,U202&lt;&gt;""),ROUND((U202-N(K202))/(F202/60),0),"")</f>
        <v/>
      </c>
      <c r="W202" s="6">
        <f>IF(U202&lt;&gt;"",ROUND(N(K202)/U202*100,1),"")</f>
        <v/>
      </c>
    </row>
    <row r="203">
      <c r="A203" s="3" t="n"/>
      <c r="B203" s="4" t="n"/>
      <c r="C203" s="4" t="n"/>
      <c r="D203" s="5" t="n"/>
      <c r="E203" s="5" t="n"/>
      <c r="F203" s="6">
        <f>IF(AND(D203&lt;&gt;"",E203&lt;&gt;""),ROUND((E203-D203)*1440,0),"")</f>
        <v/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6">
        <f>IF(C203="착유장",기준값!$B$3,IF(C203="건유·육성우동",기준값!$B$2,""))</f>
        <v/>
      </c>
      <c r="V203" s="6">
        <f>IF(AND(F203&lt;&gt;"",F203&gt;0,U203&lt;&gt;""),ROUND((U203-N(K203))/(F203/60),0),"")</f>
        <v/>
      </c>
      <c r="W203" s="6">
        <f>IF(U203&lt;&gt;"",ROUND(N(K203)/U203*100,1),"")</f>
        <v/>
      </c>
    </row>
    <row r="204">
      <c r="A204" s="3" t="n"/>
      <c r="B204" s="4" t="n"/>
      <c r="C204" s="4" t="n"/>
      <c r="D204" s="5" t="n"/>
      <c r="E204" s="5" t="n"/>
      <c r="F204" s="6">
        <f>IF(AND(D204&lt;&gt;"",E204&lt;&gt;""),ROUND((E204-D204)*1440,0),"")</f>
        <v/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6">
        <f>IF(C204="착유장",기준값!$B$3,IF(C204="건유·육성우동",기준값!$B$2,""))</f>
        <v/>
      </c>
      <c r="V204" s="6">
        <f>IF(AND(F204&lt;&gt;"",F204&gt;0,U204&lt;&gt;""),ROUND((U204-N(K204))/(F204/60),0),"")</f>
        <v/>
      </c>
      <c r="W204" s="6">
        <f>IF(U204&lt;&gt;"",ROUND(N(K204)/U204*100,1),"")</f>
        <v/>
      </c>
    </row>
    <row r="205">
      <c r="A205" s="3" t="n"/>
      <c r="B205" s="4" t="n"/>
      <c r="C205" s="4" t="n"/>
      <c r="D205" s="5" t="n"/>
      <c r="E205" s="5" t="n"/>
      <c r="F205" s="6">
        <f>IF(AND(D205&lt;&gt;"",E205&lt;&gt;""),ROUND((E205-D205)*1440,0),"")</f>
        <v/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6">
        <f>IF(C205="착유장",기준값!$B$3,IF(C205="건유·육성우동",기준값!$B$2,""))</f>
        <v/>
      </c>
      <c r="V205" s="6">
        <f>IF(AND(F205&lt;&gt;"",F205&gt;0,U205&lt;&gt;""),ROUND((U205-N(K205))/(F205/60),0),"")</f>
        <v/>
      </c>
      <c r="W205" s="6">
        <f>IF(U205&lt;&gt;"",ROUND(N(K205)/U205*100,1),"")</f>
        <v/>
      </c>
    </row>
    <row r="206">
      <c r="A206" s="3" t="n"/>
      <c r="B206" s="4" t="n"/>
      <c r="C206" s="4" t="n"/>
      <c r="D206" s="5" t="n"/>
      <c r="E206" s="5" t="n"/>
      <c r="F206" s="6">
        <f>IF(AND(D206&lt;&gt;"",E206&lt;&gt;""),ROUND((E206-D206)*1440,0),"")</f>
        <v/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6">
        <f>IF(C206="착유장",기준값!$B$3,IF(C206="건유·육성우동",기준값!$B$2,""))</f>
        <v/>
      </c>
      <c r="V206" s="6">
        <f>IF(AND(F206&lt;&gt;"",F206&gt;0,U206&lt;&gt;""),ROUND((U206-N(K206))/(F206/60),0),"")</f>
        <v/>
      </c>
      <c r="W206" s="6">
        <f>IF(U206&lt;&gt;"",ROUND(N(K206)/U206*100,1),"")</f>
        <v/>
      </c>
    </row>
    <row r="207">
      <c r="A207" s="3" t="n"/>
      <c r="B207" s="4" t="n"/>
      <c r="C207" s="4" t="n"/>
      <c r="D207" s="5" t="n"/>
      <c r="E207" s="5" t="n"/>
      <c r="F207" s="6">
        <f>IF(AND(D207&lt;&gt;"",E207&lt;&gt;""),ROUND((E207-D207)*1440,0),"")</f>
        <v/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6">
        <f>IF(C207="착유장",기준값!$B$3,IF(C207="건유·육성우동",기준값!$B$2,""))</f>
        <v/>
      </c>
      <c r="V207" s="6">
        <f>IF(AND(F207&lt;&gt;"",F207&gt;0,U207&lt;&gt;""),ROUND((U207-N(K207))/(F207/60),0),"")</f>
        <v/>
      </c>
      <c r="W207" s="6">
        <f>IF(U207&lt;&gt;"",ROUND(N(K207)/U207*100,1),"")</f>
        <v/>
      </c>
    </row>
    <row r="208">
      <c r="A208" s="3" t="n"/>
      <c r="B208" s="4" t="n"/>
      <c r="C208" s="4" t="n"/>
      <c r="D208" s="5" t="n"/>
      <c r="E208" s="5" t="n"/>
      <c r="F208" s="6">
        <f>IF(AND(D208&lt;&gt;"",E208&lt;&gt;""),ROUND((E208-D208)*1440,0),"")</f>
        <v/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6">
        <f>IF(C208="착유장",기준값!$B$3,IF(C208="건유·육성우동",기준값!$B$2,""))</f>
        <v/>
      </c>
      <c r="V208" s="6">
        <f>IF(AND(F208&lt;&gt;"",F208&gt;0,U208&lt;&gt;""),ROUND((U208-N(K208))/(F208/60),0),"")</f>
        <v/>
      </c>
      <c r="W208" s="6">
        <f>IF(U208&lt;&gt;"",ROUND(N(K208)/U208*100,1),"")</f>
        <v/>
      </c>
    </row>
    <row r="209">
      <c r="A209" s="3" t="n"/>
      <c r="B209" s="4" t="n"/>
      <c r="C209" s="4" t="n"/>
      <c r="D209" s="5" t="n"/>
      <c r="E209" s="5" t="n"/>
      <c r="F209" s="6">
        <f>IF(AND(D209&lt;&gt;"",E209&lt;&gt;""),ROUND((E209-D209)*1440,0),"")</f>
        <v/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6">
        <f>IF(C209="착유장",기준값!$B$3,IF(C209="건유·육성우동",기준값!$B$2,""))</f>
        <v/>
      </c>
      <c r="V209" s="6">
        <f>IF(AND(F209&lt;&gt;"",F209&gt;0,U209&lt;&gt;""),ROUND((U209-N(K209))/(F209/60),0),"")</f>
        <v/>
      </c>
      <c r="W209" s="6">
        <f>IF(U209&lt;&gt;"",ROUND(N(K209)/U209*100,1),"")</f>
        <v/>
      </c>
    </row>
    <row r="210">
      <c r="A210" s="3" t="n"/>
      <c r="B210" s="4" t="n"/>
      <c r="C210" s="4" t="n"/>
      <c r="D210" s="5" t="n"/>
      <c r="E210" s="5" t="n"/>
      <c r="F210" s="6">
        <f>IF(AND(D210&lt;&gt;"",E210&lt;&gt;""),ROUND((E210-D210)*1440,0),"")</f>
        <v/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6">
        <f>IF(C210="착유장",기준값!$B$3,IF(C210="건유·육성우동",기준값!$B$2,""))</f>
        <v/>
      </c>
      <c r="V210" s="6">
        <f>IF(AND(F210&lt;&gt;"",F210&gt;0,U210&lt;&gt;""),ROUND((U210-N(K210))/(F210/60),0),"")</f>
        <v/>
      </c>
      <c r="W210" s="6">
        <f>IF(U210&lt;&gt;"",ROUND(N(K210)/U210*100,1),"")</f>
        <v/>
      </c>
    </row>
    <row r="211">
      <c r="A211" s="3" t="n"/>
      <c r="B211" s="4" t="n"/>
      <c r="C211" s="4" t="n"/>
      <c r="D211" s="5" t="n"/>
      <c r="E211" s="5" t="n"/>
      <c r="F211" s="6">
        <f>IF(AND(D211&lt;&gt;"",E211&lt;&gt;""),ROUND((E211-D211)*1440,0),"")</f>
        <v/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6">
        <f>IF(C211="착유장",기준값!$B$3,IF(C211="건유·육성우동",기준값!$B$2,""))</f>
        <v/>
      </c>
      <c r="V211" s="6">
        <f>IF(AND(F211&lt;&gt;"",F211&gt;0,U211&lt;&gt;""),ROUND((U211-N(K211))/(F211/60),0),"")</f>
        <v/>
      </c>
      <c r="W211" s="6">
        <f>IF(U211&lt;&gt;"",ROUND(N(K211)/U211*100,1),"")</f>
        <v/>
      </c>
    </row>
    <row r="212">
      <c r="A212" s="3" t="n"/>
      <c r="B212" s="4" t="n"/>
      <c r="C212" s="4" t="n"/>
      <c r="D212" s="5" t="n"/>
      <c r="E212" s="5" t="n"/>
      <c r="F212" s="6">
        <f>IF(AND(D212&lt;&gt;"",E212&lt;&gt;""),ROUND((E212-D212)*1440,0),"")</f>
        <v/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6">
        <f>IF(C212="착유장",기준값!$B$3,IF(C212="건유·육성우동",기준값!$B$2,""))</f>
        <v/>
      </c>
      <c r="V212" s="6">
        <f>IF(AND(F212&lt;&gt;"",F212&gt;0,U212&lt;&gt;""),ROUND((U212-N(K212))/(F212/60),0),"")</f>
        <v/>
      </c>
      <c r="W212" s="6">
        <f>IF(U212&lt;&gt;"",ROUND(N(K212)/U212*100,1),"")</f>
        <v/>
      </c>
    </row>
    <row r="213">
      <c r="A213" s="3" t="n"/>
      <c r="B213" s="4" t="n"/>
      <c r="C213" s="4" t="n"/>
      <c r="D213" s="5" t="n"/>
      <c r="E213" s="5" t="n"/>
      <c r="F213" s="6">
        <f>IF(AND(D213&lt;&gt;"",E213&lt;&gt;""),ROUND((E213-D213)*1440,0),"")</f>
        <v/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6">
        <f>IF(C213="착유장",기준값!$B$3,IF(C213="건유·육성우동",기준값!$B$2,""))</f>
        <v/>
      </c>
      <c r="V213" s="6">
        <f>IF(AND(F213&lt;&gt;"",F213&gt;0,U213&lt;&gt;""),ROUND((U213-N(K213))/(F213/60),0),"")</f>
        <v/>
      </c>
      <c r="W213" s="6">
        <f>IF(U213&lt;&gt;"",ROUND(N(K213)/U213*100,1),"")</f>
        <v/>
      </c>
    </row>
    <row r="214">
      <c r="A214" s="3" t="n"/>
      <c r="B214" s="4" t="n"/>
      <c r="C214" s="4" t="n"/>
      <c r="D214" s="5" t="n"/>
      <c r="E214" s="5" t="n"/>
      <c r="F214" s="6">
        <f>IF(AND(D214&lt;&gt;"",E214&lt;&gt;""),ROUND((E214-D214)*1440,0),"")</f>
        <v/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6">
        <f>IF(C214="착유장",기준값!$B$3,IF(C214="건유·육성우동",기준값!$B$2,""))</f>
        <v/>
      </c>
      <c r="V214" s="6">
        <f>IF(AND(F214&lt;&gt;"",F214&gt;0,U214&lt;&gt;""),ROUND((U214-N(K214))/(F214/60),0),"")</f>
        <v/>
      </c>
      <c r="W214" s="6">
        <f>IF(U214&lt;&gt;"",ROUND(N(K214)/U214*100,1),"")</f>
        <v/>
      </c>
    </row>
    <row r="215">
      <c r="A215" s="3" t="n"/>
      <c r="B215" s="4" t="n"/>
      <c r="C215" s="4" t="n"/>
      <c r="D215" s="5" t="n"/>
      <c r="E215" s="5" t="n"/>
      <c r="F215" s="6">
        <f>IF(AND(D215&lt;&gt;"",E215&lt;&gt;""),ROUND((E215-D215)*1440,0),"")</f>
        <v/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6">
        <f>IF(C215="착유장",기준값!$B$3,IF(C215="건유·육성우동",기준값!$B$2,""))</f>
        <v/>
      </c>
      <c r="V215" s="6">
        <f>IF(AND(F215&lt;&gt;"",F215&gt;0,U215&lt;&gt;""),ROUND((U215-N(K215))/(F215/60),0),"")</f>
        <v/>
      </c>
      <c r="W215" s="6">
        <f>IF(U215&lt;&gt;"",ROUND(N(K215)/U215*100,1),"")</f>
        <v/>
      </c>
    </row>
    <row r="216">
      <c r="A216" s="3" t="n"/>
      <c r="B216" s="4" t="n"/>
      <c r="C216" s="4" t="n"/>
      <c r="D216" s="5" t="n"/>
      <c r="E216" s="5" t="n"/>
      <c r="F216" s="6">
        <f>IF(AND(D216&lt;&gt;"",E216&lt;&gt;""),ROUND((E216-D216)*1440,0),"")</f>
        <v/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6">
        <f>IF(C216="착유장",기준값!$B$3,IF(C216="건유·육성우동",기준값!$B$2,""))</f>
        <v/>
      </c>
      <c r="V216" s="6">
        <f>IF(AND(F216&lt;&gt;"",F216&gt;0,U216&lt;&gt;""),ROUND((U216-N(K216))/(F216/60),0),"")</f>
        <v/>
      </c>
      <c r="W216" s="6">
        <f>IF(U216&lt;&gt;"",ROUND(N(K216)/U216*100,1),"")</f>
        <v/>
      </c>
    </row>
    <row r="217">
      <c r="A217" s="3" t="n"/>
      <c r="B217" s="4" t="n"/>
      <c r="C217" s="4" t="n"/>
      <c r="D217" s="5" t="n"/>
      <c r="E217" s="5" t="n"/>
      <c r="F217" s="6">
        <f>IF(AND(D217&lt;&gt;"",E217&lt;&gt;""),ROUND((E217-D217)*1440,0),"")</f>
        <v/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6">
        <f>IF(C217="착유장",기준값!$B$3,IF(C217="건유·육성우동",기준값!$B$2,""))</f>
        <v/>
      </c>
      <c r="V217" s="6">
        <f>IF(AND(F217&lt;&gt;"",F217&gt;0,U217&lt;&gt;""),ROUND((U217-N(K217))/(F217/60),0),"")</f>
        <v/>
      </c>
      <c r="W217" s="6">
        <f>IF(U217&lt;&gt;"",ROUND(N(K217)/U217*100,1),"")</f>
        <v/>
      </c>
    </row>
    <row r="218">
      <c r="A218" s="3" t="n"/>
      <c r="B218" s="4" t="n"/>
      <c r="C218" s="4" t="n"/>
      <c r="D218" s="5" t="n"/>
      <c r="E218" s="5" t="n"/>
      <c r="F218" s="6">
        <f>IF(AND(D218&lt;&gt;"",E218&lt;&gt;""),ROUND((E218-D218)*1440,0),"")</f>
        <v/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6">
        <f>IF(C218="착유장",기준값!$B$3,IF(C218="건유·육성우동",기준값!$B$2,""))</f>
        <v/>
      </c>
      <c r="V218" s="6">
        <f>IF(AND(F218&lt;&gt;"",F218&gt;0,U218&lt;&gt;""),ROUND((U218-N(K218))/(F218/60),0),"")</f>
        <v/>
      </c>
      <c r="W218" s="6">
        <f>IF(U218&lt;&gt;"",ROUND(N(K218)/U218*100,1),"")</f>
        <v/>
      </c>
    </row>
    <row r="219">
      <c r="A219" s="3" t="n"/>
      <c r="B219" s="4" t="n"/>
      <c r="C219" s="4" t="n"/>
      <c r="D219" s="5" t="n"/>
      <c r="E219" s="5" t="n"/>
      <c r="F219" s="6">
        <f>IF(AND(D219&lt;&gt;"",E219&lt;&gt;""),ROUND((E219-D219)*1440,0),"")</f>
        <v/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6">
        <f>IF(C219="착유장",기준값!$B$3,IF(C219="건유·육성우동",기준값!$B$2,""))</f>
        <v/>
      </c>
      <c r="V219" s="6">
        <f>IF(AND(F219&lt;&gt;"",F219&gt;0,U219&lt;&gt;""),ROUND((U219-N(K219))/(F219/60),0),"")</f>
        <v/>
      </c>
      <c r="W219" s="6">
        <f>IF(U219&lt;&gt;"",ROUND(N(K219)/U219*100,1),"")</f>
        <v/>
      </c>
    </row>
    <row r="220">
      <c r="A220" s="3" t="n"/>
      <c r="B220" s="4" t="n"/>
      <c r="C220" s="4" t="n"/>
      <c r="D220" s="5" t="n"/>
      <c r="E220" s="5" t="n"/>
      <c r="F220" s="6">
        <f>IF(AND(D220&lt;&gt;"",E220&lt;&gt;""),ROUND((E220-D220)*1440,0),"")</f>
        <v/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6">
        <f>IF(C220="착유장",기준값!$B$3,IF(C220="건유·육성우동",기준값!$B$2,""))</f>
        <v/>
      </c>
      <c r="V220" s="6">
        <f>IF(AND(F220&lt;&gt;"",F220&gt;0,U220&lt;&gt;""),ROUND((U220-N(K220))/(F220/60),0),"")</f>
        <v/>
      </c>
      <c r="W220" s="6">
        <f>IF(U220&lt;&gt;"",ROUND(N(K220)/U220*100,1),"")</f>
        <v/>
      </c>
    </row>
    <row r="221">
      <c r="A221" s="3" t="n"/>
      <c r="B221" s="4" t="n"/>
      <c r="C221" s="4" t="n"/>
      <c r="D221" s="5" t="n"/>
      <c r="E221" s="5" t="n"/>
      <c r="F221" s="6">
        <f>IF(AND(D221&lt;&gt;"",E221&lt;&gt;""),ROUND((E221-D221)*1440,0),"")</f>
        <v/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6">
        <f>IF(C221="착유장",기준값!$B$3,IF(C221="건유·육성우동",기준값!$B$2,""))</f>
        <v/>
      </c>
      <c r="V221" s="6">
        <f>IF(AND(F221&lt;&gt;"",F221&gt;0,U221&lt;&gt;""),ROUND((U221-N(K221))/(F221/60),0),"")</f>
        <v/>
      </c>
      <c r="W221" s="6">
        <f>IF(U221&lt;&gt;"",ROUND(N(K221)/U221*100,1),"")</f>
        <v/>
      </c>
    </row>
    <row r="222">
      <c r="A222" s="3" t="n"/>
      <c r="B222" s="4" t="n"/>
      <c r="C222" s="4" t="n"/>
      <c r="D222" s="5" t="n"/>
      <c r="E222" s="5" t="n"/>
      <c r="F222" s="6">
        <f>IF(AND(D222&lt;&gt;"",E222&lt;&gt;""),ROUND((E222-D222)*1440,0),"")</f>
        <v/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6">
        <f>IF(C222="착유장",기준값!$B$3,IF(C222="건유·육성우동",기준값!$B$2,""))</f>
        <v/>
      </c>
      <c r="V222" s="6">
        <f>IF(AND(F222&lt;&gt;"",F222&gt;0,U222&lt;&gt;""),ROUND((U222-N(K222))/(F222/60),0),"")</f>
        <v/>
      </c>
      <c r="W222" s="6">
        <f>IF(U222&lt;&gt;"",ROUND(N(K222)/U222*100,1),"")</f>
        <v/>
      </c>
    </row>
    <row r="223">
      <c r="A223" s="3" t="n"/>
      <c r="B223" s="4" t="n"/>
      <c r="C223" s="4" t="n"/>
      <c r="D223" s="5" t="n"/>
      <c r="E223" s="5" t="n"/>
      <c r="F223" s="6">
        <f>IF(AND(D223&lt;&gt;"",E223&lt;&gt;""),ROUND((E223-D223)*1440,0),"")</f>
        <v/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6">
        <f>IF(C223="착유장",기준값!$B$3,IF(C223="건유·육성우동",기준값!$B$2,""))</f>
        <v/>
      </c>
      <c r="V223" s="6">
        <f>IF(AND(F223&lt;&gt;"",F223&gt;0,U223&lt;&gt;""),ROUND((U223-N(K223))/(F223/60),0),"")</f>
        <v/>
      </c>
      <c r="W223" s="6">
        <f>IF(U223&lt;&gt;"",ROUND(N(K223)/U223*100,1),"")</f>
        <v/>
      </c>
    </row>
    <row r="224">
      <c r="A224" s="3" t="n"/>
      <c r="B224" s="4" t="n"/>
      <c r="C224" s="4" t="n"/>
      <c r="D224" s="5" t="n"/>
      <c r="E224" s="5" t="n"/>
      <c r="F224" s="6">
        <f>IF(AND(D224&lt;&gt;"",E224&lt;&gt;""),ROUND((E224-D224)*1440,0),"")</f>
        <v/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6">
        <f>IF(C224="착유장",기준값!$B$3,IF(C224="건유·육성우동",기준값!$B$2,""))</f>
        <v/>
      </c>
      <c r="V224" s="6">
        <f>IF(AND(F224&lt;&gt;"",F224&gt;0,U224&lt;&gt;""),ROUND((U224-N(K224))/(F224/60),0),"")</f>
        <v/>
      </c>
      <c r="W224" s="6">
        <f>IF(U224&lt;&gt;"",ROUND(N(K224)/U224*100,1),"")</f>
        <v/>
      </c>
    </row>
    <row r="225">
      <c r="A225" s="3" t="n"/>
      <c r="B225" s="4" t="n"/>
      <c r="C225" s="4" t="n"/>
      <c r="D225" s="5" t="n"/>
      <c r="E225" s="5" t="n"/>
      <c r="F225" s="6">
        <f>IF(AND(D225&lt;&gt;"",E225&lt;&gt;""),ROUND((E225-D225)*1440,0),"")</f>
        <v/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6">
        <f>IF(C225="착유장",기준값!$B$3,IF(C225="건유·육성우동",기준값!$B$2,""))</f>
        <v/>
      </c>
      <c r="V225" s="6">
        <f>IF(AND(F225&lt;&gt;"",F225&gt;0,U225&lt;&gt;""),ROUND((U225-N(K225))/(F225/60),0),"")</f>
        <v/>
      </c>
      <c r="W225" s="6">
        <f>IF(U225&lt;&gt;"",ROUND(N(K225)/U225*100,1),"")</f>
        <v/>
      </c>
    </row>
    <row r="226">
      <c r="A226" s="3" t="n"/>
      <c r="B226" s="4" t="n"/>
      <c r="C226" s="4" t="n"/>
      <c r="D226" s="5" t="n"/>
      <c r="E226" s="5" t="n"/>
      <c r="F226" s="6">
        <f>IF(AND(D226&lt;&gt;"",E226&lt;&gt;""),ROUND((E226-D226)*1440,0),"")</f>
        <v/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6">
        <f>IF(C226="착유장",기준값!$B$3,IF(C226="건유·육성우동",기준값!$B$2,""))</f>
        <v/>
      </c>
      <c r="V226" s="6">
        <f>IF(AND(F226&lt;&gt;"",F226&gt;0,U226&lt;&gt;""),ROUND((U226-N(K226))/(F226/60),0),"")</f>
        <v/>
      </c>
      <c r="W226" s="6">
        <f>IF(U226&lt;&gt;"",ROUND(N(K226)/U226*100,1),"")</f>
        <v/>
      </c>
    </row>
    <row r="227">
      <c r="A227" s="3" t="n"/>
      <c r="B227" s="4" t="n"/>
      <c r="C227" s="4" t="n"/>
      <c r="D227" s="5" t="n"/>
      <c r="E227" s="5" t="n"/>
      <c r="F227" s="6">
        <f>IF(AND(D227&lt;&gt;"",E227&lt;&gt;""),ROUND((E227-D227)*1440,0),"")</f>
        <v/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6">
        <f>IF(C227="착유장",기준값!$B$3,IF(C227="건유·육성우동",기준값!$B$2,""))</f>
        <v/>
      </c>
      <c r="V227" s="6">
        <f>IF(AND(F227&lt;&gt;"",F227&gt;0,U227&lt;&gt;""),ROUND((U227-N(K227))/(F227/60),0),"")</f>
        <v/>
      </c>
      <c r="W227" s="6">
        <f>IF(U227&lt;&gt;"",ROUND(N(K227)/U227*100,1),"")</f>
        <v/>
      </c>
    </row>
    <row r="228">
      <c r="A228" s="3" t="n"/>
      <c r="B228" s="4" t="n"/>
      <c r="C228" s="4" t="n"/>
      <c r="D228" s="5" t="n"/>
      <c r="E228" s="5" t="n"/>
      <c r="F228" s="6">
        <f>IF(AND(D228&lt;&gt;"",E228&lt;&gt;""),ROUND((E228-D228)*1440,0),"")</f>
        <v/>
      </c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6">
        <f>IF(C228="착유장",기준값!$B$3,IF(C228="건유·육성우동",기준값!$B$2,""))</f>
        <v/>
      </c>
      <c r="V228" s="6">
        <f>IF(AND(F228&lt;&gt;"",F228&gt;0,U228&lt;&gt;""),ROUND((U228-N(K228))/(F228/60),0),"")</f>
        <v/>
      </c>
      <c r="W228" s="6">
        <f>IF(U228&lt;&gt;"",ROUND(N(K228)/U228*100,1),"")</f>
        <v/>
      </c>
    </row>
    <row r="229">
      <c r="A229" s="3" t="n"/>
      <c r="B229" s="4" t="n"/>
      <c r="C229" s="4" t="n"/>
      <c r="D229" s="5" t="n"/>
      <c r="E229" s="5" t="n"/>
      <c r="F229" s="6">
        <f>IF(AND(D229&lt;&gt;"",E229&lt;&gt;""),ROUND((E229-D229)*1440,0),"")</f>
        <v/>
      </c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6">
        <f>IF(C229="착유장",기준값!$B$3,IF(C229="건유·육성우동",기준값!$B$2,""))</f>
        <v/>
      </c>
      <c r="V229" s="6">
        <f>IF(AND(F229&lt;&gt;"",F229&gt;0,U229&lt;&gt;""),ROUND((U229-N(K229))/(F229/60),0),"")</f>
        <v/>
      </c>
      <c r="W229" s="6">
        <f>IF(U229&lt;&gt;"",ROUND(N(K229)/U229*100,1),"")</f>
        <v/>
      </c>
    </row>
    <row r="230">
      <c r="A230" s="3" t="n"/>
      <c r="B230" s="4" t="n"/>
      <c r="C230" s="4" t="n"/>
      <c r="D230" s="5" t="n"/>
      <c r="E230" s="5" t="n"/>
      <c r="F230" s="6">
        <f>IF(AND(D230&lt;&gt;"",E230&lt;&gt;""),ROUND((E230-D230)*1440,0),"")</f>
        <v/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6">
        <f>IF(C230="착유장",기준값!$B$3,IF(C230="건유·육성우동",기준값!$B$2,""))</f>
        <v/>
      </c>
      <c r="V230" s="6">
        <f>IF(AND(F230&lt;&gt;"",F230&gt;0,U230&lt;&gt;""),ROUND((U230-N(K230))/(F230/60),0),"")</f>
        <v/>
      </c>
      <c r="W230" s="6">
        <f>IF(U230&lt;&gt;"",ROUND(N(K230)/U230*100,1),"")</f>
        <v/>
      </c>
    </row>
    <row r="231">
      <c r="A231" s="3" t="n"/>
      <c r="B231" s="4" t="n"/>
      <c r="C231" s="4" t="n"/>
      <c r="D231" s="5" t="n"/>
      <c r="E231" s="5" t="n"/>
      <c r="F231" s="6">
        <f>IF(AND(D231&lt;&gt;"",E231&lt;&gt;""),ROUND((E231-D231)*1440,0),"")</f>
        <v/>
      </c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6">
        <f>IF(C231="착유장",기준값!$B$3,IF(C231="건유·육성우동",기준값!$B$2,""))</f>
        <v/>
      </c>
      <c r="V231" s="6">
        <f>IF(AND(F231&lt;&gt;"",F231&gt;0,U231&lt;&gt;""),ROUND((U231-N(K231))/(F231/60),0),"")</f>
        <v/>
      </c>
      <c r="W231" s="6">
        <f>IF(U231&lt;&gt;"",ROUND(N(K231)/U231*100,1),"")</f>
        <v/>
      </c>
    </row>
    <row r="232">
      <c r="A232" s="3" t="n"/>
      <c r="B232" s="4" t="n"/>
      <c r="C232" s="4" t="n"/>
      <c r="D232" s="5" t="n"/>
      <c r="E232" s="5" t="n"/>
      <c r="F232" s="6">
        <f>IF(AND(D232&lt;&gt;"",E232&lt;&gt;""),ROUND((E232-D232)*1440,0),"")</f>
        <v/>
      </c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6">
        <f>IF(C232="착유장",기준값!$B$3,IF(C232="건유·육성우동",기준값!$B$2,""))</f>
        <v/>
      </c>
      <c r="V232" s="6">
        <f>IF(AND(F232&lt;&gt;"",F232&gt;0,U232&lt;&gt;""),ROUND((U232-N(K232))/(F232/60),0),"")</f>
        <v/>
      </c>
      <c r="W232" s="6">
        <f>IF(U232&lt;&gt;"",ROUND(N(K232)/U232*100,1),"")</f>
        <v/>
      </c>
    </row>
    <row r="233">
      <c r="A233" s="3" t="n"/>
      <c r="B233" s="4" t="n"/>
      <c r="C233" s="4" t="n"/>
      <c r="D233" s="5" t="n"/>
      <c r="E233" s="5" t="n"/>
      <c r="F233" s="6">
        <f>IF(AND(D233&lt;&gt;"",E233&lt;&gt;""),ROUND((E233-D233)*1440,0),"")</f>
        <v/>
      </c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6">
        <f>IF(C233="착유장",기준값!$B$3,IF(C233="건유·육성우동",기준값!$B$2,""))</f>
        <v/>
      </c>
      <c r="V233" s="6">
        <f>IF(AND(F233&lt;&gt;"",F233&gt;0,U233&lt;&gt;""),ROUND((U233-N(K233))/(F233/60),0),"")</f>
        <v/>
      </c>
      <c r="W233" s="6">
        <f>IF(U233&lt;&gt;"",ROUND(N(K233)/U233*100,1),"")</f>
        <v/>
      </c>
    </row>
    <row r="234">
      <c r="A234" s="3" t="n"/>
      <c r="B234" s="4" t="n"/>
      <c r="C234" s="4" t="n"/>
      <c r="D234" s="5" t="n"/>
      <c r="E234" s="5" t="n"/>
      <c r="F234" s="6">
        <f>IF(AND(D234&lt;&gt;"",E234&lt;&gt;""),ROUND((E234-D234)*1440,0),"")</f>
        <v/>
      </c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6">
        <f>IF(C234="착유장",기준값!$B$3,IF(C234="건유·육성우동",기준값!$B$2,""))</f>
        <v/>
      </c>
      <c r="V234" s="6">
        <f>IF(AND(F234&lt;&gt;"",F234&gt;0,U234&lt;&gt;""),ROUND((U234-N(K234))/(F234/60),0),"")</f>
        <v/>
      </c>
      <c r="W234" s="6">
        <f>IF(U234&lt;&gt;"",ROUND(N(K234)/U234*100,1),"")</f>
        <v/>
      </c>
    </row>
    <row r="235">
      <c r="A235" s="3" t="n"/>
      <c r="B235" s="4" t="n"/>
      <c r="C235" s="4" t="n"/>
      <c r="D235" s="5" t="n"/>
      <c r="E235" s="5" t="n"/>
      <c r="F235" s="6">
        <f>IF(AND(D235&lt;&gt;"",E235&lt;&gt;""),ROUND((E235-D235)*1440,0),"")</f>
        <v/>
      </c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6">
        <f>IF(C235="착유장",기준값!$B$3,IF(C235="건유·육성우동",기준값!$B$2,""))</f>
        <v/>
      </c>
      <c r="V235" s="6">
        <f>IF(AND(F235&lt;&gt;"",F235&gt;0,U235&lt;&gt;""),ROUND((U235-N(K235))/(F235/60),0),"")</f>
        <v/>
      </c>
      <c r="W235" s="6">
        <f>IF(U235&lt;&gt;"",ROUND(N(K235)/U235*100,1),"")</f>
        <v/>
      </c>
    </row>
    <row r="236">
      <c r="A236" s="3" t="n"/>
      <c r="B236" s="4" t="n"/>
      <c r="C236" s="4" t="n"/>
      <c r="D236" s="5" t="n"/>
      <c r="E236" s="5" t="n"/>
      <c r="F236" s="6">
        <f>IF(AND(D236&lt;&gt;"",E236&lt;&gt;""),ROUND((E236-D236)*1440,0),"")</f>
        <v/>
      </c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6">
        <f>IF(C236="착유장",기준값!$B$3,IF(C236="건유·육성우동",기준값!$B$2,""))</f>
        <v/>
      </c>
      <c r="V236" s="6">
        <f>IF(AND(F236&lt;&gt;"",F236&gt;0,U236&lt;&gt;""),ROUND((U236-N(K236))/(F236/60),0),"")</f>
        <v/>
      </c>
      <c r="W236" s="6">
        <f>IF(U236&lt;&gt;"",ROUND(N(K236)/U236*100,1),"")</f>
        <v/>
      </c>
    </row>
    <row r="237">
      <c r="A237" s="3" t="n"/>
      <c r="B237" s="4" t="n"/>
      <c r="C237" s="4" t="n"/>
      <c r="D237" s="5" t="n"/>
      <c r="E237" s="5" t="n"/>
      <c r="F237" s="6">
        <f>IF(AND(D237&lt;&gt;"",E237&lt;&gt;""),ROUND((E237-D237)*1440,0),"")</f>
        <v/>
      </c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6">
        <f>IF(C237="착유장",기준값!$B$3,IF(C237="건유·육성우동",기준값!$B$2,""))</f>
        <v/>
      </c>
      <c r="V237" s="6">
        <f>IF(AND(F237&lt;&gt;"",F237&gt;0,U237&lt;&gt;""),ROUND((U237-N(K237))/(F237/60),0),"")</f>
        <v/>
      </c>
      <c r="W237" s="6">
        <f>IF(U237&lt;&gt;"",ROUND(N(K237)/U237*100,1),"")</f>
        <v/>
      </c>
    </row>
    <row r="238">
      <c r="A238" s="3" t="n"/>
      <c r="B238" s="4" t="n"/>
      <c r="C238" s="4" t="n"/>
      <c r="D238" s="5" t="n"/>
      <c r="E238" s="5" t="n"/>
      <c r="F238" s="6">
        <f>IF(AND(D238&lt;&gt;"",E238&lt;&gt;""),ROUND((E238-D238)*1440,0),"")</f>
        <v/>
      </c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6">
        <f>IF(C238="착유장",기준값!$B$3,IF(C238="건유·육성우동",기준값!$B$2,""))</f>
        <v/>
      </c>
      <c r="V238" s="6">
        <f>IF(AND(F238&lt;&gt;"",F238&gt;0,U238&lt;&gt;""),ROUND((U238-N(K238))/(F238/60),0),"")</f>
        <v/>
      </c>
      <c r="W238" s="6">
        <f>IF(U238&lt;&gt;"",ROUND(N(K238)/U238*100,1),"")</f>
        <v/>
      </c>
    </row>
    <row r="239">
      <c r="A239" s="3" t="n"/>
      <c r="B239" s="4" t="n"/>
      <c r="C239" s="4" t="n"/>
      <c r="D239" s="5" t="n"/>
      <c r="E239" s="5" t="n"/>
      <c r="F239" s="6">
        <f>IF(AND(D239&lt;&gt;"",E239&lt;&gt;""),ROUND((E239-D239)*1440,0),"")</f>
        <v/>
      </c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6">
        <f>IF(C239="착유장",기준값!$B$3,IF(C239="건유·육성우동",기준값!$B$2,""))</f>
        <v/>
      </c>
      <c r="V239" s="6">
        <f>IF(AND(F239&lt;&gt;"",F239&gt;0,U239&lt;&gt;""),ROUND((U239-N(K239))/(F239/60),0),"")</f>
        <v/>
      </c>
      <c r="W239" s="6">
        <f>IF(U239&lt;&gt;"",ROUND(N(K239)/U239*100,1),"")</f>
        <v/>
      </c>
    </row>
    <row r="240">
      <c r="A240" s="3" t="n"/>
      <c r="B240" s="4" t="n"/>
      <c r="C240" s="4" t="n"/>
      <c r="D240" s="5" t="n"/>
      <c r="E240" s="5" t="n"/>
      <c r="F240" s="6">
        <f>IF(AND(D240&lt;&gt;"",E240&lt;&gt;""),ROUND((E240-D240)*1440,0),"")</f>
        <v/>
      </c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6">
        <f>IF(C240="착유장",기준값!$B$3,IF(C240="건유·육성우동",기준값!$B$2,""))</f>
        <v/>
      </c>
      <c r="V240" s="6">
        <f>IF(AND(F240&lt;&gt;"",F240&gt;0,U240&lt;&gt;""),ROUND((U240-N(K240))/(F240/60),0),"")</f>
        <v/>
      </c>
      <c r="W240" s="6">
        <f>IF(U240&lt;&gt;"",ROUND(N(K240)/U240*100,1),"")</f>
        <v/>
      </c>
    </row>
    <row r="241">
      <c r="A241" s="3" t="n"/>
      <c r="B241" s="4" t="n"/>
      <c r="C241" s="4" t="n"/>
      <c r="D241" s="5" t="n"/>
      <c r="E241" s="5" t="n"/>
      <c r="F241" s="6">
        <f>IF(AND(D241&lt;&gt;"",E241&lt;&gt;""),ROUND((E241-D241)*1440,0),"")</f>
        <v/>
      </c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6">
        <f>IF(C241="착유장",기준값!$B$3,IF(C241="건유·육성우동",기준값!$B$2,""))</f>
        <v/>
      </c>
      <c r="V241" s="6">
        <f>IF(AND(F241&lt;&gt;"",F241&gt;0,U241&lt;&gt;""),ROUND((U241-N(K241))/(F241/60),0),"")</f>
        <v/>
      </c>
      <c r="W241" s="6">
        <f>IF(U241&lt;&gt;"",ROUND(N(K241)/U241*100,1),"")</f>
        <v/>
      </c>
    </row>
    <row r="242">
      <c r="A242" s="3" t="n"/>
      <c r="B242" s="4" t="n"/>
      <c r="C242" s="4" t="n"/>
      <c r="D242" s="5" t="n"/>
      <c r="E242" s="5" t="n"/>
      <c r="F242" s="6">
        <f>IF(AND(D242&lt;&gt;"",E242&lt;&gt;""),ROUND((E242-D242)*1440,0),"")</f>
        <v/>
      </c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6">
        <f>IF(C242="착유장",기준값!$B$3,IF(C242="건유·육성우동",기준값!$B$2,""))</f>
        <v/>
      </c>
      <c r="V242" s="6">
        <f>IF(AND(F242&lt;&gt;"",F242&gt;0,U242&lt;&gt;""),ROUND((U242-N(K242))/(F242/60),0),"")</f>
        <v/>
      </c>
      <c r="W242" s="6">
        <f>IF(U242&lt;&gt;"",ROUND(N(K242)/U242*100,1),"")</f>
        <v/>
      </c>
    </row>
    <row r="243">
      <c r="A243" s="3" t="n"/>
      <c r="B243" s="4" t="n"/>
      <c r="C243" s="4" t="n"/>
      <c r="D243" s="5" t="n"/>
      <c r="E243" s="5" t="n"/>
      <c r="F243" s="6">
        <f>IF(AND(D243&lt;&gt;"",E243&lt;&gt;""),ROUND((E243-D243)*1440,0),"")</f>
        <v/>
      </c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6">
        <f>IF(C243="착유장",기준값!$B$3,IF(C243="건유·육성우동",기준값!$B$2,""))</f>
        <v/>
      </c>
      <c r="V243" s="6">
        <f>IF(AND(F243&lt;&gt;"",F243&gt;0,U243&lt;&gt;""),ROUND((U243-N(K243))/(F243/60),0),"")</f>
        <v/>
      </c>
      <c r="W243" s="6">
        <f>IF(U243&lt;&gt;"",ROUND(N(K243)/U243*100,1),"")</f>
        <v/>
      </c>
    </row>
    <row r="244">
      <c r="A244" s="3" t="n"/>
      <c r="B244" s="4" t="n"/>
      <c r="C244" s="4" t="n"/>
      <c r="D244" s="5" t="n"/>
      <c r="E244" s="5" t="n"/>
      <c r="F244" s="6">
        <f>IF(AND(D244&lt;&gt;"",E244&lt;&gt;""),ROUND((E244-D244)*1440,0),"")</f>
        <v/>
      </c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6">
        <f>IF(C244="착유장",기준값!$B$3,IF(C244="건유·육성우동",기준값!$B$2,""))</f>
        <v/>
      </c>
      <c r="V244" s="6">
        <f>IF(AND(F244&lt;&gt;"",F244&gt;0,U244&lt;&gt;""),ROUND((U244-N(K244))/(F244/60),0),"")</f>
        <v/>
      </c>
      <c r="W244" s="6">
        <f>IF(U244&lt;&gt;"",ROUND(N(K244)/U244*100,1),"")</f>
        <v/>
      </c>
    </row>
    <row r="245">
      <c r="A245" s="3" t="n"/>
      <c r="B245" s="4" t="n"/>
      <c r="C245" s="4" t="n"/>
      <c r="D245" s="5" t="n"/>
      <c r="E245" s="5" t="n"/>
      <c r="F245" s="6">
        <f>IF(AND(D245&lt;&gt;"",E245&lt;&gt;""),ROUND((E245-D245)*1440,0),"")</f>
        <v/>
      </c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6">
        <f>IF(C245="착유장",기준값!$B$3,IF(C245="건유·육성우동",기준값!$B$2,""))</f>
        <v/>
      </c>
      <c r="V245" s="6">
        <f>IF(AND(F245&lt;&gt;"",F245&gt;0,U245&lt;&gt;""),ROUND((U245-N(K245))/(F245/60),0),"")</f>
        <v/>
      </c>
      <c r="W245" s="6">
        <f>IF(U245&lt;&gt;"",ROUND(N(K245)/U245*100,1),"")</f>
        <v/>
      </c>
    </row>
    <row r="246">
      <c r="A246" s="3" t="n"/>
      <c r="B246" s="4" t="n"/>
      <c r="C246" s="4" t="n"/>
      <c r="D246" s="5" t="n"/>
      <c r="E246" s="5" t="n"/>
      <c r="F246" s="6">
        <f>IF(AND(D246&lt;&gt;"",E246&lt;&gt;""),ROUND((E246-D246)*1440,0),"")</f>
        <v/>
      </c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6">
        <f>IF(C246="착유장",기준값!$B$3,IF(C246="건유·육성우동",기준값!$B$2,""))</f>
        <v/>
      </c>
      <c r="V246" s="6">
        <f>IF(AND(F246&lt;&gt;"",F246&gt;0,U246&lt;&gt;""),ROUND((U246-N(K246))/(F246/60),0),"")</f>
        <v/>
      </c>
      <c r="W246" s="6">
        <f>IF(U246&lt;&gt;"",ROUND(N(K246)/U246*100,1),"")</f>
        <v/>
      </c>
    </row>
    <row r="247">
      <c r="A247" s="3" t="n"/>
      <c r="B247" s="4" t="n"/>
      <c r="C247" s="4" t="n"/>
      <c r="D247" s="5" t="n"/>
      <c r="E247" s="5" t="n"/>
      <c r="F247" s="6">
        <f>IF(AND(D247&lt;&gt;"",E247&lt;&gt;""),ROUND((E247-D247)*1440,0),"")</f>
        <v/>
      </c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6">
        <f>IF(C247="착유장",기준값!$B$3,IF(C247="건유·육성우동",기준값!$B$2,""))</f>
        <v/>
      </c>
      <c r="V247" s="6">
        <f>IF(AND(F247&lt;&gt;"",F247&gt;0,U247&lt;&gt;""),ROUND((U247-N(K247))/(F247/60),0),"")</f>
        <v/>
      </c>
      <c r="W247" s="6">
        <f>IF(U247&lt;&gt;"",ROUND(N(K247)/U247*100,1),"")</f>
        <v/>
      </c>
    </row>
    <row r="248">
      <c r="A248" s="3" t="n"/>
      <c r="B248" s="4" t="n"/>
      <c r="C248" s="4" t="n"/>
      <c r="D248" s="5" t="n"/>
      <c r="E248" s="5" t="n"/>
      <c r="F248" s="6">
        <f>IF(AND(D248&lt;&gt;"",E248&lt;&gt;""),ROUND((E248-D248)*1440,0),"")</f>
        <v/>
      </c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6">
        <f>IF(C248="착유장",기준값!$B$3,IF(C248="건유·육성우동",기준값!$B$2,""))</f>
        <v/>
      </c>
      <c r="V248" s="6">
        <f>IF(AND(F248&lt;&gt;"",F248&gt;0,U248&lt;&gt;""),ROUND((U248-N(K248))/(F248/60),0),"")</f>
        <v/>
      </c>
      <c r="W248" s="6">
        <f>IF(U248&lt;&gt;"",ROUND(N(K248)/U248*100,1),"")</f>
        <v/>
      </c>
    </row>
    <row r="249">
      <c r="A249" s="3" t="n"/>
      <c r="B249" s="4" t="n"/>
      <c r="C249" s="4" t="n"/>
      <c r="D249" s="5" t="n"/>
      <c r="E249" s="5" t="n"/>
      <c r="F249" s="6">
        <f>IF(AND(D249&lt;&gt;"",E249&lt;&gt;""),ROUND((E249-D249)*1440,0),"")</f>
        <v/>
      </c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6">
        <f>IF(C249="착유장",기준값!$B$3,IF(C249="건유·육성우동",기준값!$B$2,""))</f>
        <v/>
      </c>
      <c r="V249" s="6">
        <f>IF(AND(F249&lt;&gt;"",F249&gt;0,U249&lt;&gt;""),ROUND((U249-N(K249))/(F249/60),0),"")</f>
        <v/>
      </c>
      <c r="W249" s="6">
        <f>IF(U249&lt;&gt;"",ROUND(N(K249)/U249*100,1),"")</f>
        <v/>
      </c>
    </row>
    <row r="250">
      <c r="A250" s="3" t="n"/>
      <c r="B250" s="4" t="n"/>
      <c r="C250" s="4" t="n"/>
      <c r="D250" s="5" t="n"/>
      <c r="E250" s="5" t="n"/>
      <c r="F250" s="6">
        <f>IF(AND(D250&lt;&gt;"",E250&lt;&gt;""),ROUND((E250-D250)*1440,0),"")</f>
        <v/>
      </c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6">
        <f>IF(C250="착유장",기준값!$B$3,IF(C250="건유·육성우동",기준값!$B$2,""))</f>
        <v/>
      </c>
      <c r="V250" s="6">
        <f>IF(AND(F250&lt;&gt;"",F250&gt;0,U250&lt;&gt;""),ROUND((U250-N(K250))/(F250/60),0),"")</f>
        <v/>
      </c>
      <c r="W250" s="6">
        <f>IF(U250&lt;&gt;"",ROUND(N(K250)/U250*100,1),"")</f>
        <v/>
      </c>
    </row>
    <row r="251">
      <c r="A251" s="3" t="n"/>
      <c r="B251" s="4" t="n"/>
      <c r="C251" s="4" t="n"/>
      <c r="D251" s="5" t="n"/>
      <c r="E251" s="5" t="n"/>
      <c r="F251" s="6">
        <f>IF(AND(D251&lt;&gt;"",E251&lt;&gt;""),ROUND((E251-D251)*1440,0),"")</f>
        <v/>
      </c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6">
        <f>IF(C251="착유장",기준값!$B$3,IF(C251="건유·육성우동",기준값!$B$2,""))</f>
        <v/>
      </c>
      <c r="V251" s="6">
        <f>IF(AND(F251&lt;&gt;"",F251&gt;0,U251&lt;&gt;""),ROUND((U251-N(K251))/(F251/60),0),"")</f>
        <v/>
      </c>
      <c r="W251" s="6">
        <f>IF(U251&lt;&gt;"",ROUND(N(K251)/U251*100,1),"")</f>
        <v/>
      </c>
    </row>
    <row r="252">
      <c r="A252" s="3" t="n"/>
      <c r="B252" s="4" t="n"/>
      <c r="C252" s="4" t="n"/>
      <c r="D252" s="5" t="n"/>
      <c r="E252" s="5" t="n"/>
      <c r="F252" s="6">
        <f>IF(AND(D252&lt;&gt;"",E252&lt;&gt;""),ROUND((E252-D252)*1440,0),"")</f>
        <v/>
      </c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6">
        <f>IF(C252="착유장",기준값!$B$3,IF(C252="건유·육성우동",기준값!$B$2,""))</f>
        <v/>
      </c>
      <c r="V252" s="6">
        <f>IF(AND(F252&lt;&gt;"",F252&gt;0,U252&lt;&gt;""),ROUND((U252-N(K252))/(F252/60),0),"")</f>
        <v/>
      </c>
      <c r="W252" s="6">
        <f>IF(U252&lt;&gt;"",ROUND(N(K252)/U252*100,1),"")</f>
        <v/>
      </c>
    </row>
    <row r="253">
      <c r="A253" s="3" t="n"/>
      <c r="B253" s="4" t="n"/>
      <c r="C253" s="4" t="n"/>
      <c r="D253" s="5" t="n"/>
      <c r="E253" s="5" t="n"/>
      <c r="F253" s="6">
        <f>IF(AND(D253&lt;&gt;"",E253&lt;&gt;""),ROUND((E253-D253)*1440,0),"")</f>
        <v/>
      </c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6">
        <f>IF(C253="착유장",기준값!$B$3,IF(C253="건유·육성우동",기준값!$B$2,""))</f>
        <v/>
      </c>
      <c r="V253" s="6">
        <f>IF(AND(F253&lt;&gt;"",F253&gt;0,U253&lt;&gt;""),ROUND((U253-N(K253))/(F253/60),0),"")</f>
        <v/>
      </c>
      <c r="W253" s="6">
        <f>IF(U253&lt;&gt;"",ROUND(N(K253)/U253*100,1),"")</f>
        <v/>
      </c>
    </row>
    <row r="254">
      <c r="A254" s="3" t="n"/>
      <c r="B254" s="4" t="n"/>
      <c r="C254" s="4" t="n"/>
      <c r="D254" s="5" t="n"/>
      <c r="E254" s="5" t="n"/>
      <c r="F254" s="6">
        <f>IF(AND(D254&lt;&gt;"",E254&lt;&gt;""),ROUND((E254-D254)*1440,0),"")</f>
        <v/>
      </c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6">
        <f>IF(C254="착유장",기준값!$B$3,IF(C254="건유·육성우동",기준값!$B$2,""))</f>
        <v/>
      </c>
      <c r="V254" s="6">
        <f>IF(AND(F254&lt;&gt;"",F254&gt;0,U254&lt;&gt;""),ROUND((U254-N(K254))/(F254/60),0),"")</f>
        <v/>
      </c>
      <c r="W254" s="6">
        <f>IF(U254&lt;&gt;"",ROUND(N(K254)/U254*100,1),"")</f>
        <v/>
      </c>
    </row>
    <row r="255">
      <c r="A255" s="3" t="n"/>
      <c r="B255" s="4" t="n"/>
      <c r="C255" s="4" t="n"/>
      <c r="D255" s="5" t="n"/>
      <c r="E255" s="5" t="n"/>
      <c r="F255" s="6">
        <f>IF(AND(D255&lt;&gt;"",E255&lt;&gt;""),ROUND((E255-D255)*1440,0),"")</f>
        <v/>
      </c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6">
        <f>IF(C255="착유장",기준값!$B$3,IF(C255="건유·육성우동",기준값!$B$2,""))</f>
        <v/>
      </c>
      <c r="V255" s="6">
        <f>IF(AND(F255&lt;&gt;"",F255&gt;0,U255&lt;&gt;""),ROUND((U255-N(K255))/(F255/60),0),"")</f>
        <v/>
      </c>
      <c r="W255" s="6">
        <f>IF(U255&lt;&gt;"",ROUND(N(K255)/U255*100,1),"")</f>
        <v/>
      </c>
    </row>
    <row r="256">
      <c r="A256" s="3" t="n"/>
      <c r="B256" s="4" t="n"/>
      <c r="C256" s="4" t="n"/>
      <c r="D256" s="5" t="n"/>
      <c r="E256" s="5" t="n"/>
      <c r="F256" s="6">
        <f>IF(AND(D256&lt;&gt;"",E256&lt;&gt;""),ROUND((E256-D256)*1440,0),"")</f>
        <v/>
      </c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6">
        <f>IF(C256="착유장",기준값!$B$3,IF(C256="건유·육성우동",기준값!$B$2,""))</f>
        <v/>
      </c>
      <c r="V256" s="6">
        <f>IF(AND(F256&lt;&gt;"",F256&gt;0,U256&lt;&gt;""),ROUND((U256-N(K256))/(F256/60),0),"")</f>
        <v/>
      </c>
      <c r="W256" s="6">
        <f>IF(U256&lt;&gt;"",ROUND(N(K256)/U256*100,1),"")</f>
        <v/>
      </c>
    </row>
    <row r="257">
      <c r="A257" s="3" t="n"/>
      <c r="B257" s="4" t="n"/>
      <c r="C257" s="4" t="n"/>
      <c r="D257" s="5" t="n"/>
      <c r="E257" s="5" t="n"/>
      <c r="F257" s="6">
        <f>IF(AND(D257&lt;&gt;"",E257&lt;&gt;""),ROUND((E257-D257)*1440,0),"")</f>
        <v/>
      </c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6">
        <f>IF(C257="착유장",기준값!$B$3,IF(C257="건유·육성우동",기준값!$B$2,""))</f>
        <v/>
      </c>
      <c r="V257" s="6">
        <f>IF(AND(F257&lt;&gt;"",F257&gt;0,U257&lt;&gt;""),ROUND((U257-N(K257))/(F257/60),0),"")</f>
        <v/>
      </c>
      <c r="W257" s="6">
        <f>IF(U257&lt;&gt;"",ROUND(N(K257)/U257*100,1),"")</f>
        <v/>
      </c>
    </row>
    <row r="258">
      <c r="A258" s="3" t="n"/>
      <c r="B258" s="4" t="n"/>
      <c r="C258" s="4" t="n"/>
      <c r="D258" s="5" t="n"/>
      <c r="E258" s="5" t="n"/>
      <c r="F258" s="6">
        <f>IF(AND(D258&lt;&gt;"",E258&lt;&gt;""),ROUND((E258-D258)*1440,0),"")</f>
        <v/>
      </c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6">
        <f>IF(C258="착유장",기준값!$B$3,IF(C258="건유·육성우동",기준값!$B$2,""))</f>
        <v/>
      </c>
      <c r="V258" s="6">
        <f>IF(AND(F258&lt;&gt;"",F258&gt;0,U258&lt;&gt;""),ROUND((U258-N(K258))/(F258/60),0),"")</f>
        <v/>
      </c>
      <c r="W258" s="6">
        <f>IF(U258&lt;&gt;"",ROUND(N(K258)/U258*100,1),"")</f>
        <v/>
      </c>
    </row>
    <row r="259">
      <c r="A259" s="3" t="n"/>
      <c r="B259" s="4" t="n"/>
      <c r="C259" s="4" t="n"/>
      <c r="D259" s="5" t="n"/>
      <c r="E259" s="5" t="n"/>
      <c r="F259" s="6">
        <f>IF(AND(D259&lt;&gt;"",E259&lt;&gt;""),ROUND((E259-D259)*1440,0),"")</f>
        <v/>
      </c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6">
        <f>IF(C259="착유장",기준값!$B$3,IF(C259="건유·육성우동",기준값!$B$2,""))</f>
        <v/>
      </c>
      <c r="V259" s="6">
        <f>IF(AND(F259&lt;&gt;"",F259&gt;0,U259&lt;&gt;""),ROUND((U259-N(K259))/(F259/60),0),"")</f>
        <v/>
      </c>
      <c r="W259" s="6">
        <f>IF(U259&lt;&gt;"",ROUND(N(K259)/U259*100,1),"")</f>
        <v/>
      </c>
    </row>
    <row r="260">
      <c r="A260" s="3" t="n"/>
      <c r="B260" s="4" t="n"/>
      <c r="C260" s="4" t="n"/>
      <c r="D260" s="5" t="n"/>
      <c r="E260" s="5" t="n"/>
      <c r="F260" s="6">
        <f>IF(AND(D260&lt;&gt;"",E260&lt;&gt;""),ROUND((E260-D260)*1440,0),"")</f>
        <v/>
      </c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6">
        <f>IF(C260="착유장",기준값!$B$3,IF(C260="건유·육성우동",기준값!$B$2,""))</f>
        <v/>
      </c>
      <c r="V260" s="6">
        <f>IF(AND(F260&lt;&gt;"",F260&gt;0,U260&lt;&gt;""),ROUND((U260-N(K260))/(F260/60),0),"")</f>
        <v/>
      </c>
      <c r="W260" s="6">
        <f>IF(U260&lt;&gt;"",ROUND(N(K260)/U260*100,1),"")</f>
        <v/>
      </c>
    </row>
    <row r="261">
      <c r="A261" s="3" t="n"/>
      <c r="B261" s="4" t="n"/>
      <c r="C261" s="4" t="n"/>
      <c r="D261" s="5" t="n"/>
      <c r="E261" s="5" t="n"/>
      <c r="F261" s="6">
        <f>IF(AND(D261&lt;&gt;"",E261&lt;&gt;""),ROUND((E261-D261)*1440,0),"")</f>
        <v/>
      </c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6">
        <f>IF(C261="착유장",기준값!$B$3,IF(C261="건유·육성우동",기준값!$B$2,""))</f>
        <v/>
      </c>
      <c r="V261" s="6">
        <f>IF(AND(F261&lt;&gt;"",F261&gt;0,U261&lt;&gt;""),ROUND((U261-N(K261))/(F261/60),0),"")</f>
        <v/>
      </c>
      <c r="W261" s="6">
        <f>IF(U261&lt;&gt;"",ROUND(N(K261)/U261*100,1),"")</f>
        <v/>
      </c>
    </row>
    <row r="262">
      <c r="A262" s="3" t="n"/>
      <c r="B262" s="4" t="n"/>
      <c r="C262" s="4" t="n"/>
      <c r="D262" s="5" t="n"/>
      <c r="E262" s="5" t="n"/>
      <c r="F262" s="6">
        <f>IF(AND(D262&lt;&gt;"",E262&lt;&gt;""),ROUND((E262-D262)*1440,0),"")</f>
        <v/>
      </c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6">
        <f>IF(C262="착유장",기준값!$B$3,IF(C262="건유·육성우동",기준값!$B$2,""))</f>
        <v/>
      </c>
      <c r="V262" s="6">
        <f>IF(AND(F262&lt;&gt;"",F262&gt;0,U262&lt;&gt;""),ROUND((U262-N(K262))/(F262/60),0),"")</f>
        <v/>
      </c>
      <c r="W262" s="6">
        <f>IF(U262&lt;&gt;"",ROUND(N(K262)/U262*100,1),"")</f>
        <v/>
      </c>
    </row>
    <row r="263">
      <c r="A263" s="3" t="n"/>
      <c r="B263" s="4" t="n"/>
      <c r="C263" s="4" t="n"/>
      <c r="D263" s="5" t="n"/>
      <c r="E263" s="5" t="n"/>
      <c r="F263" s="6">
        <f>IF(AND(D263&lt;&gt;"",E263&lt;&gt;""),ROUND((E263-D263)*1440,0),"")</f>
        <v/>
      </c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6">
        <f>IF(C263="착유장",기준값!$B$3,IF(C263="건유·육성우동",기준값!$B$2,""))</f>
        <v/>
      </c>
      <c r="V263" s="6">
        <f>IF(AND(F263&lt;&gt;"",F263&gt;0,U263&lt;&gt;""),ROUND((U263-N(K263))/(F263/60),0),"")</f>
        <v/>
      </c>
      <c r="W263" s="6">
        <f>IF(U263&lt;&gt;"",ROUND(N(K263)/U263*100,1),"")</f>
        <v/>
      </c>
    </row>
    <row r="264">
      <c r="A264" s="3" t="n"/>
      <c r="B264" s="4" t="n"/>
      <c r="C264" s="4" t="n"/>
      <c r="D264" s="5" t="n"/>
      <c r="E264" s="5" t="n"/>
      <c r="F264" s="6">
        <f>IF(AND(D264&lt;&gt;"",E264&lt;&gt;""),ROUND((E264-D264)*1440,0),"")</f>
        <v/>
      </c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6">
        <f>IF(C264="착유장",기준값!$B$3,IF(C264="건유·육성우동",기준값!$B$2,""))</f>
        <v/>
      </c>
      <c r="V264" s="6">
        <f>IF(AND(F264&lt;&gt;"",F264&gt;0,U264&lt;&gt;""),ROUND((U264-N(K264))/(F264/60),0),"")</f>
        <v/>
      </c>
      <c r="W264" s="6">
        <f>IF(U264&lt;&gt;"",ROUND(N(K264)/U264*100,1),"")</f>
        <v/>
      </c>
    </row>
    <row r="265">
      <c r="A265" s="3" t="n"/>
      <c r="B265" s="4" t="n"/>
      <c r="C265" s="4" t="n"/>
      <c r="D265" s="5" t="n"/>
      <c r="E265" s="5" t="n"/>
      <c r="F265" s="6">
        <f>IF(AND(D265&lt;&gt;"",E265&lt;&gt;""),ROUND((E265-D265)*1440,0),"")</f>
        <v/>
      </c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6">
        <f>IF(C265="착유장",기준값!$B$3,IF(C265="건유·육성우동",기준값!$B$2,""))</f>
        <v/>
      </c>
      <c r="V265" s="6">
        <f>IF(AND(F265&lt;&gt;"",F265&gt;0,U265&lt;&gt;""),ROUND((U265-N(K265))/(F265/60),0),"")</f>
        <v/>
      </c>
      <c r="W265" s="6">
        <f>IF(U265&lt;&gt;"",ROUND(N(K265)/U265*100,1),"")</f>
        <v/>
      </c>
    </row>
    <row r="266">
      <c r="A266" s="3" t="n"/>
      <c r="B266" s="4" t="n"/>
      <c r="C266" s="4" t="n"/>
      <c r="D266" s="5" t="n"/>
      <c r="E266" s="5" t="n"/>
      <c r="F266" s="6">
        <f>IF(AND(D266&lt;&gt;"",E266&lt;&gt;""),ROUND((E266-D266)*1440,0),"")</f>
        <v/>
      </c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6">
        <f>IF(C266="착유장",기준값!$B$3,IF(C266="건유·육성우동",기준값!$B$2,""))</f>
        <v/>
      </c>
      <c r="V266" s="6">
        <f>IF(AND(F266&lt;&gt;"",F266&gt;0,U266&lt;&gt;""),ROUND((U266-N(K266))/(F266/60),0),"")</f>
        <v/>
      </c>
      <c r="W266" s="6">
        <f>IF(U266&lt;&gt;"",ROUND(N(K266)/U266*100,1),"")</f>
        <v/>
      </c>
    </row>
    <row r="267">
      <c r="A267" s="3" t="n"/>
      <c r="B267" s="4" t="n"/>
      <c r="C267" s="4" t="n"/>
      <c r="D267" s="5" t="n"/>
      <c r="E267" s="5" t="n"/>
      <c r="F267" s="6">
        <f>IF(AND(D267&lt;&gt;"",E267&lt;&gt;""),ROUND((E267-D267)*1440,0),"")</f>
        <v/>
      </c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6">
        <f>IF(C267="착유장",기준값!$B$3,IF(C267="건유·육성우동",기준값!$B$2,""))</f>
        <v/>
      </c>
      <c r="V267" s="6">
        <f>IF(AND(F267&lt;&gt;"",F267&gt;0,U267&lt;&gt;""),ROUND((U267-N(K267))/(F267/60),0),"")</f>
        <v/>
      </c>
      <c r="W267" s="6">
        <f>IF(U267&lt;&gt;"",ROUND(N(K267)/U267*100,1),"")</f>
        <v/>
      </c>
    </row>
    <row r="268">
      <c r="A268" s="3" t="n"/>
      <c r="B268" s="4" t="n"/>
      <c r="C268" s="4" t="n"/>
      <c r="D268" s="5" t="n"/>
      <c r="E268" s="5" t="n"/>
      <c r="F268" s="6">
        <f>IF(AND(D268&lt;&gt;"",E268&lt;&gt;""),ROUND((E268-D268)*1440,0),"")</f>
        <v/>
      </c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6">
        <f>IF(C268="착유장",기준값!$B$3,IF(C268="건유·육성우동",기준값!$B$2,""))</f>
        <v/>
      </c>
      <c r="V268" s="6">
        <f>IF(AND(F268&lt;&gt;"",F268&gt;0,U268&lt;&gt;""),ROUND((U268-N(K268))/(F268/60),0),"")</f>
        <v/>
      </c>
      <c r="W268" s="6">
        <f>IF(U268&lt;&gt;"",ROUND(N(K268)/U268*100,1),"")</f>
        <v/>
      </c>
    </row>
    <row r="269">
      <c r="A269" s="3" t="n"/>
      <c r="B269" s="4" t="n"/>
      <c r="C269" s="4" t="n"/>
      <c r="D269" s="5" t="n"/>
      <c r="E269" s="5" t="n"/>
      <c r="F269" s="6">
        <f>IF(AND(D269&lt;&gt;"",E269&lt;&gt;""),ROUND((E269-D269)*1440,0),"")</f>
        <v/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6">
        <f>IF(C269="착유장",기준값!$B$3,IF(C269="건유·육성우동",기준값!$B$2,""))</f>
        <v/>
      </c>
      <c r="V269" s="6">
        <f>IF(AND(F269&lt;&gt;"",F269&gt;0,U269&lt;&gt;""),ROUND((U269-N(K269))/(F269/60),0),"")</f>
        <v/>
      </c>
      <c r="W269" s="6">
        <f>IF(U269&lt;&gt;"",ROUND(N(K269)/U269*100,1),"")</f>
        <v/>
      </c>
    </row>
    <row r="270">
      <c r="A270" s="3" t="n"/>
      <c r="B270" s="4" t="n"/>
      <c r="C270" s="4" t="n"/>
      <c r="D270" s="5" t="n"/>
      <c r="E270" s="5" t="n"/>
      <c r="F270" s="6">
        <f>IF(AND(D270&lt;&gt;"",E270&lt;&gt;""),ROUND((E270-D270)*1440,0),"")</f>
        <v/>
      </c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6">
        <f>IF(C270="착유장",기준값!$B$3,IF(C270="건유·육성우동",기준값!$B$2,""))</f>
        <v/>
      </c>
      <c r="V270" s="6">
        <f>IF(AND(F270&lt;&gt;"",F270&gt;0,U270&lt;&gt;""),ROUND((U270-N(K270))/(F270/60),0),"")</f>
        <v/>
      </c>
      <c r="W270" s="6">
        <f>IF(U270&lt;&gt;"",ROUND(N(K270)/U270*100,1),"")</f>
        <v/>
      </c>
    </row>
    <row r="271">
      <c r="A271" s="3" t="n"/>
      <c r="B271" s="4" t="n"/>
      <c r="C271" s="4" t="n"/>
      <c r="D271" s="5" t="n"/>
      <c r="E271" s="5" t="n"/>
      <c r="F271" s="6">
        <f>IF(AND(D271&lt;&gt;"",E271&lt;&gt;""),ROUND((E271-D271)*1440,0),"")</f>
        <v/>
      </c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6">
        <f>IF(C271="착유장",기준값!$B$3,IF(C271="건유·육성우동",기준값!$B$2,""))</f>
        <v/>
      </c>
      <c r="V271" s="6">
        <f>IF(AND(F271&lt;&gt;"",F271&gt;0,U271&lt;&gt;""),ROUND((U271-N(K271))/(F271/60),0),"")</f>
        <v/>
      </c>
      <c r="W271" s="6">
        <f>IF(U271&lt;&gt;"",ROUND(N(K271)/U271*100,1),"")</f>
        <v/>
      </c>
    </row>
    <row r="272">
      <c r="A272" s="3" t="n"/>
      <c r="B272" s="4" t="n"/>
      <c r="C272" s="4" t="n"/>
      <c r="D272" s="5" t="n"/>
      <c r="E272" s="5" t="n"/>
      <c r="F272" s="6">
        <f>IF(AND(D272&lt;&gt;"",E272&lt;&gt;""),ROUND((E272-D272)*1440,0),"")</f>
        <v/>
      </c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6">
        <f>IF(C272="착유장",기준값!$B$3,IF(C272="건유·육성우동",기준값!$B$2,""))</f>
        <v/>
      </c>
      <c r="V272" s="6">
        <f>IF(AND(F272&lt;&gt;"",F272&gt;0,U272&lt;&gt;""),ROUND((U272-N(K272))/(F272/60),0),"")</f>
        <v/>
      </c>
      <c r="W272" s="6">
        <f>IF(U272&lt;&gt;"",ROUND(N(K272)/U272*100,1),"")</f>
        <v/>
      </c>
    </row>
    <row r="273">
      <c r="A273" s="3" t="n"/>
      <c r="B273" s="4" t="n"/>
      <c r="C273" s="4" t="n"/>
      <c r="D273" s="5" t="n"/>
      <c r="E273" s="5" t="n"/>
      <c r="F273" s="6">
        <f>IF(AND(D273&lt;&gt;"",E273&lt;&gt;""),ROUND((E273-D273)*1440,0),"")</f>
        <v/>
      </c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6">
        <f>IF(C273="착유장",기준값!$B$3,IF(C273="건유·육성우동",기준값!$B$2,""))</f>
        <v/>
      </c>
      <c r="V273" s="6">
        <f>IF(AND(F273&lt;&gt;"",F273&gt;0,U273&lt;&gt;""),ROUND((U273-N(K273))/(F273/60),0),"")</f>
        <v/>
      </c>
      <c r="W273" s="6">
        <f>IF(U273&lt;&gt;"",ROUND(N(K273)/U273*100,1),"")</f>
        <v/>
      </c>
    </row>
    <row r="274">
      <c r="A274" s="3" t="n"/>
      <c r="B274" s="4" t="n"/>
      <c r="C274" s="4" t="n"/>
      <c r="D274" s="5" t="n"/>
      <c r="E274" s="5" t="n"/>
      <c r="F274" s="6">
        <f>IF(AND(D274&lt;&gt;"",E274&lt;&gt;""),ROUND((E274-D274)*1440,0),"")</f>
        <v/>
      </c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6">
        <f>IF(C274="착유장",기준값!$B$3,IF(C274="건유·육성우동",기준값!$B$2,""))</f>
        <v/>
      </c>
      <c r="V274" s="6">
        <f>IF(AND(F274&lt;&gt;"",F274&gt;0,U274&lt;&gt;""),ROUND((U274-N(K274))/(F274/60),0),"")</f>
        <v/>
      </c>
      <c r="W274" s="6">
        <f>IF(U274&lt;&gt;"",ROUND(N(K274)/U274*100,1),"")</f>
        <v/>
      </c>
    </row>
    <row r="275">
      <c r="A275" s="3" t="n"/>
      <c r="B275" s="4" t="n"/>
      <c r="C275" s="4" t="n"/>
      <c r="D275" s="5" t="n"/>
      <c r="E275" s="5" t="n"/>
      <c r="F275" s="6">
        <f>IF(AND(D275&lt;&gt;"",E275&lt;&gt;""),ROUND((E275-D275)*1440,0),"")</f>
        <v/>
      </c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6">
        <f>IF(C275="착유장",기준값!$B$3,IF(C275="건유·육성우동",기준값!$B$2,""))</f>
        <v/>
      </c>
      <c r="V275" s="6">
        <f>IF(AND(F275&lt;&gt;"",F275&gt;0,U275&lt;&gt;""),ROUND((U275-N(K275))/(F275/60),0),"")</f>
        <v/>
      </c>
      <c r="W275" s="6">
        <f>IF(U275&lt;&gt;"",ROUND(N(K275)/U275*100,1),"")</f>
        <v/>
      </c>
    </row>
    <row r="276">
      <c r="A276" s="3" t="n"/>
      <c r="B276" s="4" t="n"/>
      <c r="C276" s="4" t="n"/>
      <c r="D276" s="5" t="n"/>
      <c r="E276" s="5" t="n"/>
      <c r="F276" s="6">
        <f>IF(AND(D276&lt;&gt;"",E276&lt;&gt;""),ROUND((E276-D276)*1440,0),"")</f>
        <v/>
      </c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6">
        <f>IF(C276="착유장",기준값!$B$3,IF(C276="건유·육성우동",기준값!$B$2,""))</f>
        <v/>
      </c>
      <c r="V276" s="6">
        <f>IF(AND(F276&lt;&gt;"",F276&gt;0,U276&lt;&gt;""),ROUND((U276-N(K276))/(F276/60),0),"")</f>
        <v/>
      </c>
      <c r="W276" s="6">
        <f>IF(U276&lt;&gt;"",ROUND(N(K276)/U276*100,1),"")</f>
        <v/>
      </c>
    </row>
    <row r="277">
      <c r="A277" s="3" t="n"/>
      <c r="B277" s="4" t="n"/>
      <c r="C277" s="4" t="n"/>
      <c r="D277" s="5" t="n"/>
      <c r="E277" s="5" t="n"/>
      <c r="F277" s="6">
        <f>IF(AND(D277&lt;&gt;"",E277&lt;&gt;""),ROUND((E277-D277)*1440,0),"")</f>
        <v/>
      </c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6">
        <f>IF(C277="착유장",기준값!$B$3,IF(C277="건유·육성우동",기준값!$B$2,""))</f>
        <v/>
      </c>
      <c r="V277" s="6">
        <f>IF(AND(F277&lt;&gt;"",F277&gt;0,U277&lt;&gt;""),ROUND((U277-N(K277))/(F277/60),0),"")</f>
        <v/>
      </c>
      <c r="W277" s="6">
        <f>IF(U277&lt;&gt;"",ROUND(N(K277)/U277*100,1),"")</f>
        <v/>
      </c>
    </row>
    <row r="278">
      <c r="A278" s="3" t="n"/>
      <c r="B278" s="4" t="n"/>
      <c r="C278" s="4" t="n"/>
      <c r="D278" s="5" t="n"/>
      <c r="E278" s="5" t="n"/>
      <c r="F278" s="6">
        <f>IF(AND(D278&lt;&gt;"",E278&lt;&gt;""),ROUND((E278-D278)*1440,0),"")</f>
        <v/>
      </c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6">
        <f>IF(C278="착유장",기준값!$B$3,IF(C278="건유·육성우동",기준값!$B$2,""))</f>
        <v/>
      </c>
      <c r="V278" s="6">
        <f>IF(AND(F278&lt;&gt;"",F278&gt;0,U278&lt;&gt;""),ROUND((U278-N(K278))/(F278/60),0),"")</f>
        <v/>
      </c>
      <c r="W278" s="6">
        <f>IF(U278&lt;&gt;"",ROUND(N(K278)/U278*100,1),"")</f>
        <v/>
      </c>
    </row>
    <row r="279">
      <c r="A279" s="3" t="n"/>
      <c r="B279" s="4" t="n"/>
      <c r="C279" s="4" t="n"/>
      <c r="D279" s="5" t="n"/>
      <c r="E279" s="5" t="n"/>
      <c r="F279" s="6">
        <f>IF(AND(D279&lt;&gt;"",E279&lt;&gt;""),ROUND((E279-D279)*1440,0),"")</f>
        <v/>
      </c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6">
        <f>IF(C279="착유장",기준값!$B$3,IF(C279="건유·육성우동",기준값!$B$2,""))</f>
        <v/>
      </c>
      <c r="V279" s="6">
        <f>IF(AND(F279&lt;&gt;"",F279&gt;0,U279&lt;&gt;""),ROUND((U279-N(K279))/(F279/60),0),"")</f>
        <v/>
      </c>
      <c r="W279" s="6">
        <f>IF(U279&lt;&gt;"",ROUND(N(K279)/U279*100,1),"")</f>
        <v/>
      </c>
    </row>
    <row r="280">
      <c r="A280" s="3" t="n"/>
      <c r="B280" s="4" t="n"/>
      <c r="C280" s="4" t="n"/>
      <c r="D280" s="5" t="n"/>
      <c r="E280" s="5" t="n"/>
      <c r="F280" s="6">
        <f>IF(AND(D280&lt;&gt;"",E280&lt;&gt;""),ROUND((E280-D280)*1440,0),"")</f>
        <v/>
      </c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6">
        <f>IF(C280="착유장",기준값!$B$3,IF(C280="건유·육성우동",기준값!$B$2,""))</f>
        <v/>
      </c>
      <c r="V280" s="6">
        <f>IF(AND(F280&lt;&gt;"",F280&gt;0,U280&lt;&gt;""),ROUND((U280-N(K280))/(F280/60),0),"")</f>
        <v/>
      </c>
      <c r="W280" s="6">
        <f>IF(U280&lt;&gt;"",ROUND(N(K280)/U280*100,1),"")</f>
        <v/>
      </c>
    </row>
    <row r="281">
      <c r="A281" s="3" t="n"/>
      <c r="B281" s="4" t="n"/>
      <c r="C281" s="4" t="n"/>
      <c r="D281" s="5" t="n"/>
      <c r="E281" s="5" t="n"/>
      <c r="F281" s="6">
        <f>IF(AND(D281&lt;&gt;"",E281&lt;&gt;""),ROUND((E281-D281)*1440,0),"")</f>
        <v/>
      </c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6">
        <f>IF(C281="착유장",기준값!$B$3,IF(C281="건유·육성우동",기준값!$B$2,""))</f>
        <v/>
      </c>
      <c r="V281" s="6">
        <f>IF(AND(F281&lt;&gt;"",F281&gt;0,U281&lt;&gt;""),ROUND((U281-N(K281))/(F281/60),0),"")</f>
        <v/>
      </c>
      <c r="W281" s="6">
        <f>IF(U281&lt;&gt;"",ROUND(N(K281)/U281*100,1),"")</f>
        <v/>
      </c>
    </row>
    <row r="282">
      <c r="A282" s="3" t="n"/>
      <c r="B282" s="4" t="n"/>
      <c r="C282" s="4" t="n"/>
      <c r="D282" s="5" t="n"/>
      <c r="E282" s="5" t="n"/>
      <c r="F282" s="6">
        <f>IF(AND(D282&lt;&gt;"",E282&lt;&gt;""),ROUND((E282-D282)*1440,0),"")</f>
        <v/>
      </c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6">
        <f>IF(C282="착유장",기준값!$B$3,IF(C282="건유·육성우동",기준값!$B$2,""))</f>
        <v/>
      </c>
      <c r="V282" s="6">
        <f>IF(AND(F282&lt;&gt;"",F282&gt;0,U282&lt;&gt;""),ROUND((U282-N(K282))/(F282/60),0),"")</f>
        <v/>
      </c>
      <c r="W282" s="6">
        <f>IF(U282&lt;&gt;"",ROUND(N(K282)/U282*100,1),"")</f>
        <v/>
      </c>
    </row>
    <row r="283">
      <c r="A283" s="3" t="n"/>
      <c r="B283" s="4" t="n"/>
      <c r="C283" s="4" t="n"/>
      <c r="D283" s="5" t="n"/>
      <c r="E283" s="5" t="n"/>
      <c r="F283" s="6">
        <f>IF(AND(D283&lt;&gt;"",E283&lt;&gt;""),ROUND((E283-D283)*1440,0),"")</f>
        <v/>
      </c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6">
        <f>IF(C283="착유장",기준값!$B$3,IF(C283="건유·육성우동",기준값!$B$2,""))</f>
        <v/>
      </c>
      <c r="V283" s="6">
        <f>IF(AND(F283&lt;&gt;"",F283&gt;0,U283&lt;&gt;""),ROUND((U283-N(K283))/(F283/60),0),"")</f>
        <v/>
      </c>
      <c r="W283" s="6">
        <f>IF(U283&lt;&gt;"",ROUND(N(K283)/U283*100,1),"")</f>
        <v/>
      </c>
    </row>
    <row r="284">
      <c r="A284" s="3" t="n"/>
      <c r="B284" s="4" t="n"/>
      <c r="C284" s="4" t="n"/>
      <c r="D284" s="5" t="n"/>
      <c r="E284" s="5" t="n"/>
      <c r="F284" s="6">
        <f>IF(AND(D284&lt;&gt;"",E284&lt;&gt;""),ROUND((E284-D284)*1440,0),"")</f>
        <v/>
      </c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6">
        <f>IF(C284="착유장",기준값!$B$3,IF(C284="건유·육성우동",기준값!$B$2,""))</f>
        <v/>
      </c>
      <c r="V284" s="6">
        <f>IF(AND(F284&lt;&gt;"",F284&gt;0,U284&lt;&gt;""),ROUND((U284-N(K284))/(F284/60),0),"")</f>
        <v/>
      </c>
      <c r="W284" s="6">
        <f>IF(U284&lt;&gt;"",ROUND(N(K284)/U284*100,1),"")</f>
        <v/>
      </c>
    </row>
    <row r="285">
      <c r="A285" s="3" t="n"/>
      <c r="B285" s="4" t="n"/>
      <c r="C285" s="4" t="n"/>
      <c r="D285" s="5" t="n"/>
      <c r="E285" s="5" t="n"/>
      <c r="F285" s="6">
        <f>IF(AND(D285&lt;&gt;"",E285&lt;&gt;""),ROUND((E285-D285)*1440,0),"")</f>
        <v/>
      </c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6">
        <f>IF(C285="착유장",기준값!$B$3,IF(C285="건유·육성우동",기준값!$B$2,""))</f>
        <v/>
      </c>
      <c r="V285" s="6">
        <f>IF(AND(F285&lt;&gt;"",F285&gt;0,U285&lt;&gt;""),ROUND((U285-N(K285))/(F285/60),0),"")</f>
        <v/>
      </c>
      <c r="W285" s="6">
        <f>IF(U285&lt;&gt;"",ROUND(N(K285)/U285*100,1),"")</f>
        <v/>
      </c>
    </row>
    <row r="286">
      <c r="A286" s="3" t="n"/>
      <c r="B286" s="4" t="n"/>
      <c r="C286" s="4" t="n"/>
      <c r="D286" s="5" t="n"/>
      <c r="E286" s="5" t="n"/>
      <c r="F286" s="6">
        <f>IF(AND(D286&lt;&gt;"",E286&lt;&gt;""),ROUND((E286-D286)*1440,0),"")</f>
        <v/>
      </c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6">
        <f>IF(C286="착유장",기준값!$B$3,IF(C286="건유·육성우동",기준값!$B$2,""))</f>
        <v/>
      </c>
      <c r="V286" s="6">
        <f>IF(AND(F286&lt;&gt;"",F286&gt;0,U286&lt;&gt;""),ROUND((U286-N(K286))/(F286/60),0),"")</f>
        <v/>
      </c>
      <c r="W286" s="6">
        <f>IF(U286&lt;&gt;"",ROUND(N(K286)/U286*100,1),"")</f>
        <v/>
      </c>
    </row>
    <row r="287">
      <c r="A287" s="3" t="n"/>
      <c r="B287" s="4" t="n"/>
      <c r="C287" s="4" t="n"/>
      <c r="D287" s="5" t="n"/>
      <c r="E287" s="5" t="n"/>
      <c r="F287" s="6">
        <f>IF(AND(D287&lt;&gt;"",E287&lt;&gt;""),ROUND((E287-D287)*1440,0),"")</f>
        <v/>
      </c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6">
        <f>IF(C287="착유장",기준값!$B$3,IF(C287="건유·육성우동",기준값!$B$2,""))</f>
        <v/>
      </c>
      <c r="V287" s="6">
        <f>IF(AND(F287&lt;&gt;"",F287&gt;0,U287&lt;&gt;""),ROUND((U287-N(K287))/(F287/60),0),"")</f>
        <v/>
      </c>
      <c r="W287" s="6">
        <f>IF(U287&lt;&gt;"",ROUND(N(K287)/U287*100,1),"")</f>
        <v/>
      </c>
    </row>
    <row r="288">
      <c r="A288" s="3" t="n"/>
      <c r="B288" s="4" t="n"/>
      <c r="C288" s="4" t="n"/>
      <c r="D288" s="5" t="n"/>
      <c r="E288" s="5" t="n"/>
      <c r="F288" s="6">
        <f>IF(AND(D288&lt;&gt;"",E288&lt;&gt;""),ROUND((E288-D288)*1440,0),"")</f>
        <v/>
      </c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6">
        <f>IF(C288="착유장",기준값!$B$3,IF(C288="건유·육성우동",기준값!$B$2,""))</f>
        <v/>
      </c>
      <c r="V288" s="6">
        <f>IF(AND(F288&lt;&gt;"",F288&gt;0,U288&lt;&gt;""),ROUND((U288-N(K288))/(F288/60),0),"")</f>
        <v/>
      </c>
      <c r="W288" s="6">
        <f>IF(U288&lt;&gt;"",ROUND(N(K288)/U288*100,1),"")</f>
        <v/>
      </c>
    </row>
    <row r="289">
      <c r="A289" s="3" t="n"/>
      <c r="B289" s="4" t="n"/>
      <c r="C289" s="4" t="n"/>
      <c r="D289" s="5" t="n"/>
      <c r="E289" s="5" t="n"/>
      <c r="F289" s="6">
        <f>IF(AND(D289&lt;&gt;"",E289&lt;&gt;""),ROUND((E289-D289)*1440,0),"")</f>
        <v/>
      </c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6">
        <f>IF(C289="착유장",기준값!$B$3,IF(C289="건유·육성우동",기준값!$B$2,""))</f>
        <v/>
      </c>
      <c r="V289" s="6">
        <f>IF(AND(F289&lt;&gt;"",F289&gt;0,U289&lt;&gt;""),ROUND((U289-N(K289))/(F289/60),0),"")</f>
        <v/>
      </c>
      <c r="W289" s="6">
        <f>IF(U289&lt;&gt;"",ROUND(N(K289)/U289*100,1),"")</f>
        <v/>
      </c>
    </row>
    <row r="290">
      <c r="A290" s="3" t="n"/>
      <c r="B290" s="4" t="n"/>
      <c r="C290" s="4" t="n"/>
      <c r="D290" s="5" t="n"/>
      <c r="E290" s="5" t="n"/>
      <c r="F290" s="6">
        <f>IF(AND(D290&lt;&gt;"",E290&lt;&gt;""),ROUND((E290-D290)*1440,0),"")</f>
        <v/>
      </c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6">
        <f>IF(C290="착유장",기준값!$B$3,IF(C290="건유·육성우동",기준값!$B$2,""))</f>
        <v/>
      </c>
      <c r="V290" s="6">
        <f>IF(AND(F290&lt;&gt;"",F290&gt;0,U290&lt;&gt;""),ROUND((U290-N(K290))/(F290/60),0),"")</f>
        <v/>
      </c>
      <c r="W290" s="6">
        <f>IF(U290&lt;&gt;"",ROUND(N(K290)/U290*100,1),"")</f>
        <v/>
      </c>
    </row>
    <row r="291">
      <c r="A291" s="3" t="n"/>
      <c r="B291" s="4" t="n"/>
      <c r="C291" s="4" t="n"/>
      <c r="D291" s="5" t="n"/>
      <c r="E291" s="5" t="n"/>
      <c r="F291" s="6">
        <f>IF(AND(D291&lt;&gt;"",E291&lt;&gt;""),ROUND((E291-D291)*1440,0),"")</f>
        <v/>
      </c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6">
        <f>IF(C291="착유장",기준값!$B$3,IF(C291="건유·육성우동",기준값!$B$2,""))</f>
        <v/>
      </c>
      <c r="V291" s="6">
        <f>IF(AND(F291&lt;&gt;"",F291&gt;0,U291&lt;&gt;""),ROUND((U291-N(K291))/(F291/60),0),"")</f>
        <v/>
      </c>
      <c r="W291" s="6">
        <f>IF(U291&lt;&gt;"",ROUND(N(K291)/U291*100,1),"")</f>
        <v/>
      </c>
    </row>
    <row r="292">
      <c r="A292" s="3" t="n"/>
      <c r="B292" s="4" t="n"/>
      <c r="C292" s="4" t="n"/>
      <c r="D292" s="5" t="n"/>
      <c r="E292" s="5" t="n"/>
      <c r="F292" s="6">
        <f>IF(AND(D292&lt;&gt;"",E292&lt;&gt;""),ROUND((E292-D292)*1440,0),"")</f>
        <v/>
      </c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6">
        <f>IF(C292="착유장",기준값!$B$3,IF(C292="건유·육성우동",기준값!$B$2,""))</f>
        <v/>
      </c>
      <c r="V292" s="6">
        <f>IF(AND(F292&lt;&gt;"",F292&gt;0,U292&lt;&gt;""),ROUND((U292-N(K292))/(F292/60),0),"")</f>
        <v/>
      </c>
      <c r="W292" s="6">
        <f>IF(U292&lt;&gt;"",ROUND(N(K292)/U292*100,1),"")</f>
        <v/>
      </c>
    </row>
    <row r="293">
      <c r="A293" s="3" t="n"/>
      <c r="B293" s="4" t="n"/>
      <c r="C293" s="4" t="n"/>
      <c r="D293" s="5" t="n"/>
      <c r="E293" s="5" t="n"/>
      <c r="F293" s="6">
        <f>IF(AND(D293&lt;&gt;"",E293&lt;&gt;""),ROUND((E293-D293)*1440,0),"")</f>
        <v/>
      </c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6">
        <f>IF(C293="착유장",기준값!$B$3,IF(C293="건유·육성우동",기준값!$B$2,""))</f>
        <v/>
      </c>
      <c r="V293" s="6">
        <f>IF(AND(F293&lt;&gt;"",F293&gt;0,U293&lt;&gt;""),ROUND((U293-N(K293))/(F293/60),0),"")</f>
        <v/>
      </c>
      <c r="W293" s="6">
        <f>IF(U293&lt;&gt;"",ROUND(N(K293)/U293*100,1),"")</f>
        <v/>
      </c>
    </row>
    <row r="294">
      <c r="A294" s="3" t="n"/>
      <c r="B294" s="4" t="n"/>
      <c r="C294" s="4" t="n"/>
      <c r="D294" s="5" t="n"/>
      <c r="E294" s="5" t="n"/>
      <c r="F294" s="6">
        <f>IF(AND(D294&lt;&gt;"",E294&lt;&gt;""),ROUND((E294-D294)*1440,0),"")</f>
        <v/>
      </c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6">
        <f>IF(C294="착유장",기준값!$B$3,IF(C294="건유·육성우동",기준값!$B$2,""))</f>
        <v/>
      </c>
      <c r="V294" s="6">
        <f>IF(AND(F294&lt;&gt;"",F294&gt;0,U294&lt;&gt;""),ROUND((U294-N(K294))/(F294/60),0),"")</f>
        <v/>
      </c>
      <c r="W294" s="6">
        <f>IF(U294&lt;&gt;"",ROUND(N(K294)/U294*100,1),"")</f>
        <v/>
      </c>
    </row>
    <row r="295">
      <c r="A295" s="3" t="n"/>
      <c r="B295" s="4" t="n"/>
      <c r="C295" s="4" t="n"/>
      <c r="D295" s="5" t="n"/>
      <c r="E295" s="5" t="n"/>
      <c r="F295" s="6">
        <f>IF(AND(D295&lt;&gt;"",E295&lt;&gt;""),ROUND((E295-D295)*1440,0),"")</f>
        <v/>
      </c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6">
        <f>IF(C295="착유장",기준값!$B$3,IF(C295="건유·육성우동",기준값!$B$2,""))</f>
        <v/>
      </c>
      <c r="V295" s="6">
        <f>IF(AND(F295&lt;&gt;"",F295&gt;0,U295&lt;&gt;""),ROUND((U295-N(K295))/(F295/60),0),"")</f>
        <v/>
      </c>
      <c r="W295" s="6">
        <f>IF(U295&lt;&gt;"",ROUND(N(K295)/U295*100,1),"")</f>
        <v/>
      </c>
    </row>
    <row r="296">
      <c r="A296" s="3" t="n"/>
      <c r="B296" s="4" t="n"/>
      <c r="C296" s="4" t="n"/>
      <c r="D296" s="5" t="n"/>
      <c r="E296" s="5" t="n"/>
      <c r="F296" s="6">
        <f>IF(AND(D296&lt;&gt;"",E296&lt;&gt;""),ROUND((E296-D296)*1440,0),"")</f>
        <v/>
      </c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6">
        <f>IF(C296="착유장",기준값!$B$3,IF(C296="건유·육성우동",기준값!$B$2,""))</f>
        <v/>
      </c>
      <c r="V296" s="6">
        <f>IF(AND(F296&lt;&gt;"",F296&gt;0,U296&lt;&gt;""),ROUND((U296-N(K296))/(F296/60),0),"")</f>
        <v/>
      </c>
      <c r="W296" s="6">
        <f>IF(U296&lt;&gt;"",ROUND(N(K296)/U296*100,1),"")</f>
        <v/>
      </c>
    </row>
    <row r="297">
      <c r="A297" s="3" t="n"/>
      <c r="B297" s="4" t="n"/>
      <c r="C297" s="4" t="n"/>
      <c r="D297" s="5" t="n"/>
      <c r="E297" s="5" t="n"/>
      <c r="F297" s="6">
        <f>IF(AND(D297&lt;&gt;"",E297&lt;&gt;""),ROUND((E297-D297)*1440,0),"")</f>
        <v/>
      </c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6">
        <f>IF(C297="착유장",기준값!$B$3,IF(C297="건유·육성우동",기준값!$B$2,""))</f>
        <v/>
      </c>
      <c r="V297" s="6">
        <f>IF(AND(F297&lt;&gt;"",F297&gt;0,U297&lt;&gt;""),ROUND((U297-N(K297))/(F297/60),0),"")</f>
        <v/>
      </c>
      <c r="W297" s="6">
        <f>IF(U297&lt;&gt;"",ROUND(N(K297)/U297*100,1),"")</f>
        <v/>
      </c>
    </row>
    <row r="298">
      <c r="A298" s="3" t="n"/>
      <c r="B298" s="4" t="n"/>
      <c r="C298" s="4" t="n"/>
      <c r="D298" s="5" t="n"/>
      <c r="E298" s="5" t="n"/>
      <c r="F298" s="6">
        <f>IF(AND(D298&lt;&gt;"",E298&lt;&gt;""),ROUND((E298-D298)*1440,0),"")</f>
        <v/>
      </c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6">
        <f>IF(C298="착유장",기준값!$B$3,IF(C298="건유·육성우동",기준값!$B$2,""))</f>
        <v/>
      </c>
      <c r="V298" s="6">
        <f>IF(AND(F298&lt;&gt;"",F298&gt;0,U298&lt;&gt;""),ROUND((U298-N(K298))/(F298/60),0),"")</f>
        <v/>
      </c>
      <c r="W298" s="6">
        <f>IF(U298&lt;&gt;"",ROUND(N(K298)/U298*100,1),"")</f>
        <v/>
      </c>
    </row>
    <row r="299">
      <c r="A299" s="3" t="n"/>
      <c r="B299" s="4" t="n"/>
      <c r="C299" s="4" t="n"/>
      <c r="D299" s="5" t="n"/>
      <c r="E299" s="5" t="n"/>
      <c r="F299" s="6">
        <f>IF(AND(D299&lt;&gt;"",E299&lt;&gt;""),ROUND((E299-D299)*1440,0),"")</f>
        <v/>
      </c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6">
        <f>IF(C299="착유장",기준값!$B$3,IF(C299="건유·육성우동",기준값!$B$2,""))</f>
        <v/>
      </c>
      <c r="V299" s="6">
        <f>IF(AND(F299&lt;&gt;"",F299&gt;0,U299&lt;&gt;""),ROUND((U299-N(K299))/(F299/60),0),"")</f>
        <v/>
      </c>
      <c r="W299" s="6">
        <f>IF(U299&lt;&gt;"",ROUND(N(K299)/U299*100,1),"")</f>
        <v/>
      </c>
    </row>
    <row r="300">
      <c r="A300" s="3" t="n"/>
      <c r="B300" s="4" t="n"/>
      <c r="C300" s="4" t="n"/>
      <c r="D300" s="5" t="n"/>
      <c r="E300" s="5" t="n"/>
      <c r="F300" s="6">
        <f>IF(AND(D300&lt;&gt;"",E300&lt;&gt;""),ROUND((E300-D300)*1440,0),"")</f>
        <v/>
      </c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6">
        <f>IF(C300="착유장",기준값!$B$3,IF(C300="건유·육성우동",기준값!$B$2,""))</f>
        <v/>
      </c>
      <c r="V300" s="6">
        <f>IF(AND(F300&lt;&gt;"",F300&gt;0,U300&lt;&gt;""),ROUND((U300-N(K300))/(F300/60),0),"")</f>
        <v/>
      </c>
      <c r="W300" s="6">
        <f>IF(U300&lt;&gt;"",ROUND(N(K300)/U300*100,1),"")</f>
        <v/>
      </c>
    </row>
    <row r="301">
      <c r="A301" s="3" t="n"/>
      <c r="B301" s="4" t="n"/>
      <c r="C301" s="4" t="n"/>
      <c r="D301" s="5" t="n"/>
      <c r="E301" s="5" t="n"/>
      <c r="F301" s="6">
        <f>IF(AND(D301&lt;&gt;"",E301&lt;&gt;""),ROUND((E301-D301)*1440,0),"")</f>
        <v/>
      </c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6">
        <f>IF(C301="착유장",기준값!$B$3,IF(C301="건유·육성우동",기준값!$B$2,""))</f>
        <v/>
      </c>
      <c r="V301" s="6">
        <f>IF(AND(F301&lt;&gt;"",F301&gt;0,U301&lt;&gt;""),ROUND((U301-N(K301))/(F301/60),0),"")</f>
        <v/>
      </c>
      <c r="W301" s="6">
        <f>IF(U301&lt;&gt;"",ROUND(N(K301)/U301*100,1),"")</f>
        <v/>
      </c>
    </row>
    <row r="302">
      <c r="A302" s="3" t="n"/>
      <c r="B302" s="4" t="n"/>
      <c r="C302" s="4" t="n"/>
      <c r="D302" s="5" t="n"/>
      <c r="E302" s="5" t="n"/>
      <c r="F302" s="6">
        <f>IF(AND(D302&lt;&gt;"",E302&lt;&gt;""),ROUND((E302-D302)*1440,0),"")</f>
        <v/>
      </c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6">
        <f>IF(C302="착유장",기준값!$B$3,IF(C302="건유·육성우동",기준값!$B$2,""))</f>
        <v/>
      </c>
      <c r="V302" s="6">
        <f>IF(AND(F302&lt;&gt;"",F302&gt;0,U302&lt;&gt;""),ROUND((U302-N(K302))/(F302/60),0),"")</f>
        <v/>
      </c>
      <c r="W302" s="6">
        <f>IF(U302&lt;&gt;"",ROUND(N(K302)/U302*100,1),"")</f>
        <v/>
      </c>
    </row>
    <row r="303">
      <c r="A303" s="3" t="n"/>
      <c r="B303" s="4" t="n"/>
      <c r="C303" s="4" t="n"/>
      <c r="D303" s="5" t="n"/>
      <c r="E303" s="5" t="n"/>
      <c r="F303" s="6">
        <f>IF(AND(D303&lt;&gt;"",E303&lt;&gt;""),ROUND((E303-D303)*1440,0),"")</f>
        <v/>
      </c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6">
        <f>IF(C303="착유장",기준값!$B$3,IF(C303="건유·육성우동",기준값!$B$2,""))</f>
        <v/>
      </c>
      <c r="V303" s="6">
        <f>IF(AND(F303&lt;&gt;"",F303&gt;0,U303&lt;&gt;""),ROUND((U303-N(K303))/(F303/60),0),"")</f>
        <v/>
      </c>
      <c r="W303" s="6">
        <f>IF(U303&lt;&gt;"",ROUND(N(K303)/U303*100,1),"")</f>
        <v/>
      </c>
    </row>
    <row r="304">
      <c r="A304" s="3" t="n"/>
      <c r="B304" s="4" t="n"/>
      <c r="C304" s="4" t="n"/>
      <c r="D304" s="5" t="n"/>
      <c r="E304" s="5" t="n"/>
      <c r="F304" s="6">
        <f>IF(AND(D304&lt;&gt;"",E304&lt;&gt;""),ROUND((E304-D304)*1440,0),"")</f>
        <v/>
      </c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6">
        <f>IF(C304="착유장",기준값!$B$3,IF(C304="건유·육성우동",기준값!$B$2,""))</f>
        <v/>
      </c>
      <c r="V304" s="6">
        <f>IF(AND(F304&lt;&gt;"",F304&gt;0,U304&lt;&gt;""),ROUND((U304-N(K304))/(F304/60),0),"")</f>
        <v/>
      </c>
      <c r="W304" s="6">
        <f>IF(U304&lt;&gt;"",ROUND(N(K304)/U304*100,1),"")</f>
        <v/>
      </c>
    </row>
    <row r="305">
      <c r="A305" s="3" t="n"/>
      <c r="B305" s="4" t="n"/>
      <c r="C305" s="4" t="n"/>
      <c r="D305" s="5" t="n"/>
      <c r="E305" s="5" t="n"/>
      <c r="F305" s="6">
        <f>IF(AND(D305&lt;&gt;"",E305&lt;&gt;""),ROUND((E305-D305)*1440,0),"")</f>
        <v/>
      </c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6">
        <f>IF(C305="착유장",기준값!$B$3,IF(C305="건유·육성우동",기준값!$B$2,""))</f>
        <v/>
      </c>
      <c r="V305" s="6">
        <f>IF(AND(F305&lt;&gt;"",F305&gt;0,U305&lt;&gt;""),ROUND((U305-N(K305))/(F305/60),0),"")</f>
        <v/>
      </c>
      <c r="W305" s="6">
        <f>IF(U305&lt;&gt;"",ROUND(N(K305)/U305*100,1),"")</f>
        <v/>
      </c>
    </row>
    <row r="306">
      <c r="A306" s="3" t="n"/>
      <c r="B306" s="4" t="n"/>
      <c r="C306" s="4" t="n"/>
      <c r="D306" s="5" t="n"/>
      <c r="E306" s="5" t="n"/>
      <c r="F306" s="6">
        <f>IF(AND(D306&lt;&gt;"",E306&lt;&gt;""),ROUND((E306-D306)*1440,0),"")</f>
        <v/>
      </c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6">
        <f>IF(C306="착유장",기준값!$B$3,IF(C306="건유·육성우동",기준값!$B$2,""))</f>
        <v/>
      </c>
      <c r="V306" s="6">
        <f>IF(AND(F306&lt;&gt;"",F306&gt;0,U306&lt;&gt;""),ROUND((U306-N(K306))/(F306/60),0),"")</f>
        <v/>
      </c>
      <c r="W306" s="6">
        <f>IF(U306&lt;&gt;"",ROUND(N(K306)/U306*100,1),"")</f>
        <v/>
      </c>
    </row>
    <row r="307">
      <c r="A307" s="3" t="n"/>
      <c r="B307" s="4" t="n"/>
      <c r="C307" s="4" t="n"/>
      <c r="D307" s="5" t="n"/>
      <c r="E307" s="5" t="n"/>
      <c r="F307" s="6">
        <f>IF(AND(D307&lt;&gt;"",E307&lt;&gt;""),ROUND((E307-D307)*1440,0),"")</f>
        <v/>
      </c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6">
        <f>IF(C307="착유장",기준값!$B$3,IF(C307="건유·육성우동",기준값!$B$2,""))</f>
        <v/>
      </c>
      <c r="V307" s="6">
        <f>IF(AND(F307&lt;&gt;"",F307&gt;0,U307&lt;&gt;""),ROUND((U307-N(K307))/(F307/60),0),"")</f>
        <v/>
      </c>
      <c r="W307" s="6">
        <f>IF(U307&lt;&gt;"",ROUND(N(K307)/U307*100,1),"")</f>
        <v/>
      </c>
    </row>
    <row r="308">
      <c r="A308" s="3" t="n"/>
      <c r="B308" s="4" t="n"/>
      <c r="C308" s="4" t="n"/>
      <c r="D308" s="5" t="n"/>
      <c r="E308" s="5" t="n"/>
      <c r="F308" s="6">
        <f>IF(AND(D308&lt;&gt;"",E308&lt;&gt;""),ROUND((E308-D308)*1440,0),"")</f>
        <v/>
      </c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6">
        <f>IF(C308="착유장",기준값!$B$3,IF(C308="건유·육성우동",기준값!$B$2,""))</f>
        <v/>
      </c>
      <c r="V308" s="6">
        <f>IF(AND(F308&lt;&gt;"",F308&gt;0,U308&lt;&gt;""),ROUND((U308-N(K308))/(F308/60),0),"")</f>
        <v/>
      </c>
      <c r="W308" s="6">
        <f>IF(U308&lt;&gt;"",ROUND(N(K308)/U308*100,1),"")</f>
        <v/>
      </c>
    </row>
    <row r="309">
      <c r="A309" s="3" t="n"/>
      <c r="B309" s="4" t="n"/>
      <c r="C309" s="4" t="n"/>
      <c r="D309" s="5" t="n"/>
      <c r="E309" s="5" t="n"/>
      <c r="F309" s="6">
        <f>IF(AND(D309&lt;&gt;"",E309&lt;&gt;""),ROUND((E309-D309)*1440,0),"")</f>
        <v/>
      </c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6">
        <f>IF(C309="착유장",기준값!$B$3,IF(C309="건유·육성우동",기준값!$B$2,""))</f>
        <v/>
      </c>
      <c r="V309" s="6">
        <f>IF(AND(F309&lt;&gt;"",F309&gt;0,U309&lt;&gt;""),ROUND((U309-N(K309))/(F309/60),0),"")</f>
        <v/>
      </c>
      <c r="W309" s="6">
        <f>IF(U309&lt;&gt;"",ROUND(N(K309)/U309*100,1),"")</f>
        <v/>
      </c>
    </row>
    <row r="310">
      <c r="A310" s="3" t="n"/>
      <c r="B310" s="4" t="n"/>
      <c r="C310" s="4" t="n"/>
      <c r="D310" s="5" t="n"/>
      <c r="E310" s="5" t="n"/>
      <c r="F310" s="6">
        <f>IF(AND(D310&lt;&gt;"",E310&lt;&gt;""),ROUND((E310-D310)*1440,0),"")</f>
        <v/>
      </c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6">
        <f>IF(C310="착유장",기준값!$B$3,IF(C310="건유·육성우동",기준값!$B$2,""))</f>
        <v/>
      </c>
      <c r="V310" s="6">
        <f>IF(AND(F310&lt;&gt;"",F310&gt;0,U310&lt;&gt;""),ROUND((U310-N(K310))/(F310/60),0),"")</f>
        <v/>
      </c>
      <c r="W310" s="6">
        <f>IF(U310&lt;&gt;"",ROUND(N(K310)/U310*100,1),"")</f>
        <v/>
      </c>
    </row>
    <row r="311">
      <c r="A311" s="3" t="n"/>
      <c r="B311" s="4" t="n"/>
      <c r="C311" s="4" t="n"/>
      <c r="D311" s="5" t="n"/>
      <c r="E311" s="5" t="n"/>
      <c r="F311" s="6">
        <f>IF(AND(D311&lt;&gt;"",E311&lt;&gt;""),ROUND((E311-D311)*1440,0),"")</f>
        <v/>
      </c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6">
        <f>IF(C311="착유장",기준값!$B$3,IF(C311="건유·육성우동",기준값!$B$2,""))</f>
        <v/>
      </c>
      <c r="V311" s="6">
        <f>IF(AND(F311&lt;&gt;"",F311&gt;0,U311&lt;&gt;""),ROUND((U311-N(K311))/(F311/60),0),"")</f>
        <v/>
      </c>
      <c r="W311" s="6">
        <f>IF(U311&lt;&gt;"",ROUND(N(K311)/U311*100,1),"")</f>
        <v/>
      </c>
    </row>
    <row r="312">
      <c r="A312" s="3" t="n"/>
      <c r="B312" s="4" t="n"/>
      <c r="C312" s="4" t="n"/>
      <c r="D312" s="5" t="n"/>
      <c r="E312" s="5" t="n"/>
      <c r="F312" s="6">
        <f>IF(AND(D312&lt;&gt;"",E312&lt;&gt;""),ROUND((E312-D312)*1440,0),"")</f>
        <v/>
      </c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6">
        <f>IF(C312="착유장",기준값!$B$3,IF(C312="건유·육성우동",기준값!$B$2,""))</f>
        <v/>
      </c>
      <c r="V312" s="6">
        <f>IF(AND(F312&lt;&gt;"",F312&gt;0,U312&lt;&gt;""),ROUND((U312-N(K312))/(F312/60),0),"")</f>
        <v/>
      </c>
      <c r="W312" s="6">
        <f>IF(U312&lt;&gt;"",ROUND(N(K312)/U312*100,1),"")</f>
        <v/>
      </c>
    </row>
    <row r="313">
      <c r="A313" s="3" t="n"/>
      <c r="B313" s="4" t="n"/>
      <c r="C313" s="4" t="n"/>
      <c r="D313" s="5" t="n"/>
      <c r="E313" s="5" t="n"/>
      <c r="F313" s="6">
        <f>IF(AND(D313&lt;&gt;"",E313&lt;&gt;""),ROUND((E313-D313)*1440,0),"")</f>
        <v/>
      </c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6">
        <f>IF(C313="착유장",기준값!$B$3,IF(C313="건유·육성우동",기준값!$B$2,""))</f>
        <v/>
      </c>
      <c r="V313" s="6">
        <f>IF(AND(F313&lt;&gt;"",F313&gt;0,U313&lt;&gt;""),ROUND((U313-N(K313))/(F313/60),0),"")</f>
        <v/>
      </c>
      <c r="W313" s="6">
        <f>IF(U313&lt;&gt;"",ROUND(N(K313)/U313*100,1),"")</f>
        <v/>
      </c>
    </row>
    <row r="314">
      <c r="A314" s="3" t="n"/>
      <c r="B314" s="4" t="n"/>
      <c r="C314" s="4" t="n"/>
      <c r="D314" s="5" t="n"/>
      <c r="E314" s="5" t="n"/>
      <c r="F314" s="6">
        <f>IF(AND(D314&lt;&gt;"",E314&lt;&gt;""),ROUND((E314-D314)*1440,0),"")</f>
        <v/>
      </c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6">
        <f>IF(C314="착유장",기준값!$B$3,IF(C314="건유·육성우동",기준값!$B$2,""))</f>
        <v/>
      </c>
      <c r="V314" s="6">
        <f>IF(AND(F314&lt;&gt;"",F314&gt;0,U314&lt;&gt;""),ROUND((U314-N(K314))/(F314/60),0),"")</f>
        <v/>
      </c>
      <c r="W314" s="6">
        <f>IF(U314&lt;&gt;"",ROUND(N(K314)/U314*100,1),"")</f>
        <v/>
      </c>
    </row>
    <row r="315">
      <c r="A315" s="3" t="n"/>
      <c r="B315" s="4" t="n"/>
      <c r="C315" s="4" t="n"/>
      <c r="D315" s="5" t="n"/>
      <c r="E315" s="5" t="n"/>
      <c r="F315" s="6">
        <f>IF(AND(D315&lt;&gt;"",E315&lt;&gt;""),ROUND((E315-D315)*1440,0),"")</f>
        <v/>
      </c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6">
        <f>IF(C315="착유장",기준값!$B$3,IF(C315="건유·육성우동",기준값!$B$2,""))</f>
        <v/>
      </c>
      <c r="V315" s="6">
        <f>IF(AND(F315&lt;&gt;"",F315&gt;0,U315&lt;&gt;""),ROUND((U315-N(K315))/(F315/60),0),"")</f>
        <v/>
      </c>
      <c r="W315" s="6">
        <f>IF(U315&lt;&gt;"",ROUND(N(K315)/U315*100,1),"")</f>
        <v/>
      </c>
    </row>
    <row r="316">
      <c r="A316" s="3" t="n"/>
      <c r="B316" s="4" t="n"/>
      <c r="C316" s="4" t="n"/>
      <c r="D316" s="5" t="n"/>
      <c r="E316" s="5" t="n"/>
      <c r="F316" s="6">
        <f>IF(AND(D316&lt;&gt;"",E316&lt;&gt;""),ROUND((E316-D316)*1440,0),"")</f>
        <v/>
      </c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6">
        <f>IF(C316="착유장",기준값!$B$3,IF(C316="건유·육성우동",기준값!$B$2,""))</f>
        <v/>
      </c>
      <c r="V316" s="6">
        <f>IF(AND(F316&lt;&gt;"",F316&gt;0,U316&lt;&gt;""),ROUND((U316-N(K316))/(F316/60),0),"")</f>
        <v/>
      </c>
      <c r="W316" s="6">
        <f>IF(U316&lt;&gt;"",ROUND(N(K316)/U316*100,1),"")</f>
        <v/>
      </c>
    </row>
    <row r="317">
      <c r="A317" s="3" t="n"/>
      <c r="B317" s="4" t="n"/>
      <c r="C317" s="4" t="n"/>
      <c r="D317" s="5" t="n"/>
      <c r="E317" s="5" t="n"/>
      <c r="F317" s="6">
        <f>IF(AND(D317&lt;&gt;"",E317&lt;&gt;""),ROUND((E317-D317)*1440,0),"")</f>
        <v/>
      </c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6">
        <f>IF(C317="착유장",기준값!$B$3,IF(C317="건유·육성우동",기준값!$B$2,""))</f>
        <v/>
      </c>
      <c r="V317" s="6">
        <f>IF(AND(F317&lt;&gt;"",F317&gt;0,U317&lt;&gt;""),ROUND((U317-N(K317))/(F317/60),0),"")</f>
        <v/>
      </c>
      <c r="W317" s="6">
        <f>IF(U317&lt;&gt;"",ROUND(N(K317)/U317*100,1),"")</f>
        <v/>
      </c>
    </row>
    <row r="318">
      <c r="A318" s="3" t="n"/>
      <c r="B318" s="4" t="n"/>
      <c r="C318" s="4" t="n"/>
      <c r="D318" s="5" t="n"/>
      <c r="E318" s="5" t="n"/>
      <c r="F318" s="6">
        <f>IF(AND(D318&lt;&gt;"",E318&lt;&gt;""),ROUND((E318-D318)*1440,0),"")</f>
        <v/>
      </c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6">
        <f>IF(C318="착유장",기준값!$B$3,IF(C318="건유·육성우동",기준값!$B$2,""))</f>
        <v/>
      </c>
      <c r="V318" s="6">
        <f>IF(AND(F318&lt;&gt;"",F318&gt;0,U318&lt;&gt;""),ROUND((U318-N(K318))/(F318/60),0),"")</f>
        <v/>
      </c>
      <c r="W318" s="6">
        <f>IF(U318&lt;&gt;"",ROUND(N(K318)/U318*100,1),"")</f>
        <v/>
      </c>
    </row>
    <row r="319">
      <c r="A319" s="3" t="n"/>
      <c r="B319" s="4" t="n"/>
      <c r="C319" s="4" t="n"/>
      <c r="D319" s="5" t="n"/>
      <c r="E319" s="5" t="n"/>
      <c r="F319" s="6">
        <f>IF(AND(D319&lt;&gt;"",E319&lt;&gt;""),ROUND((E319-D319)*1440,0),"")</f>
        <v/>
      </c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6">
        <f>IF(C319="착유장",기준값!$B$3,IF(C319="건유·육성우동",기준값!$B$2,""))</f>
        <v/>
      </c>
      <c r="V319" s="6">
        <f>IF(AND(F319&lt;&gt;"",F319&gt;0,U319&lt;&gt;""),ROUND((U319-N(K319))/(F319/60),0),"")</f>
        <v/>
      </c>
      <c r="W319" s="6">
        <f>IF(U319&lt;&gt;"",ROUND(N(K319)/U319*100,1),"")</f>
        <v/>
      </c>
    </row>
    <row r="320">
      <c r="A320" s="3" t="n"/>
      <c r="B320" s="4" t="n"/>
      <c r="C320" s="4" t="n"/>
      <c r="D320" s="5" t="n"/>
      <c r="E320" s="5" t="n"/>
      <c r="F320" s="6">
        <f>IF(AND(D320&lt;&gt;"",E320&lt;&gt;""),ROUND((E320-D320)*1440,0),"")</f>
        <v/>
      </c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6">
        <f>IF(C320="착유장",기준값!$B$3,IF(C320="건유·육성우동",기준값!$B$2,""))</f>
        <v/>
      </c>
      <c r="V320" s="6">
        <f>IF(AND(F320&lt;&gt;"",F320&gt;0,U320&lt;&gt;""),ROUND((U320-N(K320))/(F320/60),0),"")</f>
        <v/>
      </c>
      <c r="W320" s="6">
        <f>IF(U320&lt;&gt;"",ROUND(N(K320)/U320*100,1),"")</f>
        <v/>
      </c>
    </row>
    <row r="321">
      <c r="A321" s="3" t="n"/>
      <c r="B321" s="4" t="n"/>
      <c r="C321" s="4" t="n"/>
      <c r="D321" s="5" t="n"/>
      <c r="E321" s="5" t="n"/>
      <c r="F321" s="6">
        <f>IF(AND(D321&lt;&gt;"",E321&lt;&gt;""),ROUND((E321-D321)*1440,0),"")</f>
        <v/>
      </c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6">
        <f>IF(C321="착유장",기준값!$B$3,IF(C321="건유·육성우동",기준값!$B$2,""))</f>
        <v/>
      </c>
      <c r="V321" s="6">
        <f>IF(AND(F321&lt;&gt;"",F321&gt;0,U321&lt;&gt;""),ROUND((U321-N(K321))/(F321/60),0),"")</f>
        <v/>
      </c>
      <c r="W321" s="6">
        <f>IF(U321&lt;&gt;"",ROUND(N(K321)/U321*100,1),"")</f>
        <v/>
      </c>
    </row>
    <row r="322">
      <c r="A322" s="3" t="n"/>
      <c r="B322" s="4" t="n"/>
      <c r="C322" s="4" t="n"/>
      <c r="D322" s="5" t="n"/>
      <c r="E322" s="5" t="n"/>
      <c r="F322" s="6">
        <f>IF(AND(D322&lt;&gt;"",E322&lt;&gt;""),ROUND((E322-D322)*1440,0),"")</f>
        <v/>
      </c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6">
        <f>IF(C322="착유장",기준값!$B$3,IF(C322="건유·육성우동",기준값!$B$2,""))</f>
        <v/>
      </c>
      <c r="V322" s="6">
        <f>IF(AND(F322&lt;&gt;"",F322&gt;0,U322&lt;&gt;""),ROUND((U322-N(K322))/(F322/60),0),"")</f>
        <v/>
      </c>
      <c r="W322" s="6">
        <f>IF(U322&lt;&gt;"",ROUND(N(K322)/U322*100,1),"")</f>
        <v/>
      </c>
    </row>
    <row r="323">
      <c r="A323" s="3" t="n"/>
      <c r="B323" s="4" t="n"/>
      <c r="C323" s="4" t="n"/>
      <c r="D323" s="5" t="n"/>
      <c r="E323" s="5" t="n"/>
      <c r="F323" s="6">
        <f>IF(AND(D323&lt;&gt;"",E323&lt;&gt;""),ROUND((E323-D323)*1440,0),"")</f>
        <v/>
      </c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6">
        <f>IF(C323="착유장",기준값!$B$3,IF(C323="건유·육성우동",기준값!$B$2,""))</f>
        <v/>
      </c>
      <c r="V323" s="6">
        <f>IF(AND(F323&lt;&gt;"",F323&gt;0,U323&lt;&gt;""),ROUND((U323-N(K323))/(F323/60),0),"")</f>
        <v/>
      </c>
      <c r="W323" s="6">
        <f>IF(U323&lt;&gt;"",ROUND(N(K323)/U323*100,1),"")</f>
        <v/>
      </c>
    </row>
    <row r="324">
      <c r="A324" s="3" t="n"/>
      <c r="B324" s="4" t="n"/>
      <c r="C324" s="4" t="n"/>
      <c r="D324" s="5" t="n"/>
      <c r="E324" s="5" t="n"/>
      <c r="F324" s="6">
        <f>IF(AND(D324&lt;&gt;"",E324&lt;&gt;""),ROUND((E324-D324)*1440,0),"")</f>
        <v/>
      </c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6">
        <f>IF(C324="착유장",기준값!$B$3,IF(C324="건유·육성우동",기준값!$B$2,""))</f>
        <v/>
      </c>
      <c r="V324" s="6">
        <f>IF(AND(F324&lt;&gt;"",F324&gt;0,U324&lt;&gt;""),ROUND((U324-N(K324))/(F324/60),0),"")</f>
        <v/>
      </c>
      <c r="W324" s="6">
        <f>IF(U324&lt;&gt;"",ROUND(N(K324)/U324*100,1),"")</f>
        <v/>
      </c>
    </row>
    <row r="325">
      <c r="A325" s="3" t="n"/>
      <c r="B325" s="4" t="n"/>
      <c r="C325" s="4" t="n"/>
      <c r="D325" s="5" t="n"/>
      <c r="E325" s="5" t="n"/>
      <c r="F325" s="6">
        <f>IF(AND(D325&lt;&gt;"",E325&lt;&gt;""),ROUND((E325-D325)*1440,0),"")</f>
        <v/>
      </c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6">
        <f>IF(C325="착유장",기준값!$B$3,IF(C325="건유·육성우동",기준값!$B$2,""))</f>
        <v/>
      </c>
      <c r="V325" s="6">
        <f>IF(AND(F325&lt;&gt;"",F325&gt;0,U325&lt;&gt;""),ROUND((U325-N(K325))/(F325/60),0),"")</f>
        <v/>
      </c>
      <c r="W325" s="6">
        <f>IF(U325&lt;&gt;"",ROUND(N(K325)/U325*100,1),"")</f>
        <v/>
      </c>
    </row>
    <row r="326">
      <c r="A326" s="3" t="n"/>
      <c r="B326" s="4" t="n"/>
      <c r="C326" s="4" t="n"/>
      <c r="D326" s="5" t="n"/>
      <c r="E326" s="5" t="n"/>
      <c r="F326" s="6">
        <f>IF(AND(D326&lt;&gt;"",E326&lt;&gt;""),ROUND((E326-D326)*1440,0),"")</f>
        <v/>
      </c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6">
        <f>IF(C326="착유장",기준값!$B$3,IF(C326="건유·육성우동",기준값!$B$2,""))</f>
        <v/>
      </c>
      <c r="V326" s="6">
        <f>IF(AND(F326&lt;&gt;"",F326&gt;0,U326&lt;&gt;""),ROUND((U326-N(K326))/(F326/60),0),"")</f>
        <v/>
      </c>
      <c r="W326" s="6">
        <f>IF(U326&lt;&gt;"",ROUND(N(K326)/U326*100,1),"")</f>
        <v/>
      </c>
    </row>
    <row r="327">
      <c r="A327" s="3" t="n"/>
      <c r="B327" s="4" t="n"/>
      <c r="C327" s="4" t="n"/>
      <c r="D327" s="5" t="n"/>
      <c r="E327" s="5" t="n"/>
      <c r="F327" s="6">
        <f>IF(AND(D327&lt;&gt;"",E327&lt;&gt;""),ROUND((E327-D327)*1440,0),"")</f>
        <v/>
      </c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6">
        <f>IF(C327="착유장",기준값!$B$3,IF(C327="건유·육성우동",기준값!$B$2,""))</f>
        <v/>
      </c>
      <c r="V327" s="6">
        <f>IF(AND(F327&lt;&gt;"",F327&gt;0,U327&lt;&gt;""),ROUND((U327-N(K327))/(F327/60),0),"")</f>
        <v/>
      </c>
      <c r="W327" s="6">
        <f>IF(U327&lt;&gt;"",ROUND(N(K327)/U327*100,1),"")</f>
        <v/>
      </c>
    </row>
    <row r="328">
      <c r="A328" s="3" t="n"/>
      <c r="B328" s="4" t="n"/>
      <c r="C328" s="4" t="n"/>
      <c r="D328" s="5" t="n"/>
      <c r="E328" s="5" t="n"/>
      <c r="F328" s="6">
        <f>IF(AND(D328&lt;&gt;"",E328&lt;&gt;""),ROUND((E328-D328)*1440,0),"")</f>
        <v/>
      </c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6">
        <f>IF(C328="착유장",기준값!$B$3,IF(C328="건유·육성우동",기준값!$B$2,""))</f>
        <v/>
      </c>
      <c r="V328" s="6">
        <f>IF(AND(F328&lt;&gt;"",F328&gt;0,U328&lt;&gt;""),ROUND((U328-N(K328))/(F328/60),0),"")</f>
        <v/>
      </c>
      <c r="W328" s="6">
        <f>IF(U328&lt;&gt;"",ROUND(N(K328)/U328*100,1),"")</f>
        <v/>
      </c>
    </row>
    <row r="329">
      <c r="A329" s="3" t="n"/>
      <c r="B329" s="4" t="n"/>
      <c r="C329" s="4" t="n"/>
      <c r="D329" s="5" t="n"/>
      <c r="E329" s="5" t="n"/>
      <c r="F329" s="6">
        <f>IF(AND(D329&lt;&gt;"",E329&lt;&gt;""),ROUND((E329-D329)*1440,0),"")</f>
        <v/>
      </c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6">
        <f>IF(C329="착유장",기준값!$B$3,IF(C329="건유·육성우동",기준값!$B$2,""))</f>
        <v/>
      </c>
      <c r="V329" s="6">
        <f>IF(AND(F329&lt;&gt;"",F329&gt;0,U329&lt;&gt;""),ROUND((U329-N(K329))/(F329/60),0),"")</f>
        <v/>
      </c>
      <c r="W329" s="6">
        <f>IF(U329&lt;&gt;"",ROUND(N(K329)/U329*100,1),"")</f>
        <v/>
      </c>
    </row>
    <row r="330">
      <c r="A330" s="3" t="n"/>
      <c r="B330" s="4" t="n"/>
      <c r="C330" s="4" t="n"/>
      <c r="D330" s="5" t="n"/>
      <c r="E330" s="5" t="n"/>
      <c r="F330" s="6">
        <f>IF(AND(D330&lt;&gt;"",E330&lt;&gt;""),ROUND((E330-D330)*1440,0),"")</f>
        <v/>
      </c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6">
        <f>IF(C330="착유장",기준값!$B$3,IF(C330="건유·육성우동",기준값!$B$2,""))</f>
        <v/>
      </c>
      <c r="V330" s="6">
        <f>IF(AND(F330&lt;&gt;"",F330&gt;0,U330&lt;&gt;""),ROUND((U330-N(K330))/(F330/60),0),"")</f>
        <v/>
      </c>
      <c r="W330" s="6">
        <f>IF(U330&lt;&gt;"",ROUND(N(K330)/U330*100,1),"")</f>
        <v/>
      </c>
    </row>
    <row r="331">
      <c r="A331" s="3" t="n"/>
      <c r="B331" s="4" t="n"/>
      <c r="C331" s="4" t="n"/>
      <c r="D331" s="5" t="n"/>
      <c r="E331" s="5" t="n"/>
      <c r="F331" s="6">
        <f>IF(AND(D331&lt;&gt;"",E331&lt;&gt;""),ROUND((E331-D331)*1440,0),"")</f>
        <v/>
      </c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6">
        <f>IF(C331="착유장",기준값!$B$3,IF(C331="건유·육성우동",기준값!$B$2,""))</f>
        <v/>
      </c>
      <c r="V331" s="6">
        <f>IF(AND(F331&lt;&gt;"",F331&gt;0,U331&lt;&gt;""),ROUND((U331-N(K331))/(F331/60),0),"")</f>
        <v/>
      </c>
      <c r="W331" s="6">
        <f>IF(U331&lt;&gt;"",ROUND(N(K331)/U331*100,1),"")</f>
        <v/>
      </c>
    </row>
    <row r="332">
      <c r="A332" s="3" t="n"/>
      <c r="B332" s="4" t="n"/>
      <c r="C332" s="4" t="n"/>
      <c r="D332" s="5" t="n"/>
      <c r="E332" s="5" t="n"/>
      <c r="F332" s="6">
        <f>IF(AND(D332&lt;&gt;"",E332&lt;&gt;""),ROUND((E332-D332)*1440,0),"")</f>
        <v/>
      </c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6">
        <f>IF(C332="착유장",기준값!$B$3,IF(C332="건유·육성우동",기준값!$B$2,""))</f>
        <v/>
      </c>
      <c r="V332" s="6">
        <f>IF(AND(F332&lt;&gt;"",F332&gt;0,U332&lt;&gt;""),ROUND((U332-N(K332))/(F332/60),0),"")</f>
        <v/>
      </c>
      <c r="W332" s="6">
        <f>IF(U332&lt;&gt;"",ROUND(N(K332)/U332*100,1),"")</f>
        <v/>
      </c>
    </row>
    <row r="333">
      <c r="A333" s="3" t="n"/>
      <c r="B333" s="4" t="n"/>
      <c r="C333" s="4" t="n"/>
      <c r="D333" s="5" t="n"/>
      <c r="E333" s="5" t="n"/>
      <c r="F333" s="6">
        <f>IF(AND(D333&lt;&gt;"",E333&lt;&gt;""),ROUND((E333-D333)*1440,0),"")</f>
        <v/>
      </c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6">
        <f>IF(C333="착유장",기준값!$B$3,IF(C333="건유·육성우동",기준값!$B$2,""))</f>
        <v/>
      </c>
      <c r="V333" s="6">
        <f>IF(AND(F333&lt;&gt;"",F333&gt;0,U333&lt;&gt;""),ROUND((U333-N(K333))/(F333/60),0),"")</f>
        <v/>
      </c>
      <c r="W333" s="6">
        <f>IF(U333&lt;&gt;"",ROUND(N(K333)/U333*100,1),"")</f>
        <v/>
      </c>
    </row>
    <row r="334">
      <c r="A334" s="3" t="n"/>
      <c r="B334" s="4" t="n"/>
      <c r="C334" s="4" t="n"/>
      <c r="D334" s="5" t="n"/>
      <c r="E334" s="5" t="n"/>
      <c r="F334" s="6">
        <f>IF(AND(D334&lt;&gt;"",E334&lt;&gt;""),ROUND((E334-D334)*1440,0),"")</f>
        <v/>
      </c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6">
        <f>IF(C334="착유장",기준값!$B$3,IF(C334="건유·육성우동",기준값!$B$2,""))</f>
        <v/>
      </c>
      <c r="V334" s="6">
        <f>IF(AND(F334&lt;&gt;"",F334&gt;0,U334&lt;&gt;""),ROUND((U334-N(K334))/(F334/60),0),"")</f>
        <v/>
      </c>
      <c r="W334" s="6">
        <f>IF(U334&lt;&gt;"",ROUND(N(K334)/U334*100,1),"")</f>
        <v/>
      </c>
    </row>
    <row r="335">
      <c r="A335" s="3" t="n"/>
      <c r="B335" s="4" t="n"/>
      <c r="C335" s="4" t="n"/>
      <c r="D335" s="5" t="n"/>
      <c r="E335" s="5" t="n"/>
      <c r="F335" s="6">
        <f>IF(AND(D335&lt;&gt;"",E335&lt;&gt;""),ROUND((E335-D335)*1440,0),"")</f>
        <v/>
      </c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6">
        <f>IF(C335="착유장",기준값!$B$3,IF(C335="건유·육성우동",기준값!$B$2,""))</f>
        <v/>
      </c>
      <c r="V335" s="6">
        <f>IF(AND(F335&lt;&gt;"",F335&gt;0,U335&lt;&gt;""),ROUND((U335-N(K335))/(F335/60),0),"")</f>
        <v/>
      </c>
      <c r="W335" s="6">
        <f>IF(U335&lt;&gt;"",ROUND(N(K335)/U335*100,1),"")</f>
        <v/>
      </c>
    </row>
    <row r="336">
      <c r="A336" s="3" t="n"/>
      <c r="B336" s="4" t="n"/>
      <c r="C336" s="4" t="n"/>
      <c r="D336" s="5" t="n"/>
      <c r="E336" s="5" t="n"/>
      <c r="F336" s="6">
        <f>IF(AND(D336&lt;&gt;"",E336&lt;&gt;""),ROUND((E336-D336)*1440,0),"")</f>
        <v/>
      </c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6">
        <f>IF(C336="착유장",기준값!$B$3,IF(C336="건유·육성우동",기준값!$B$2,""))</f>
        <v/>
      </c>
      <c r="V336" s="6">
        <f>IF(AND(F336&lt;&gt;"",F336&gt;0,U336&lt;&gt;""),ROUND((U336-N(K336))/(F336/60),0),"")</f>
        <v/>
      </c>
      <c r="W336" s="6">
        <f>IF(U336&lt;&gt;"",ROUND(N(K336)/U336*100,1),"")</f>
        <v/>
      </c>
    </row>
    <row r="337">
      <c r="A337" s="3" t="n"/>
      <c r="B337" s="4" t="n"/>
      <c r="C337" s="4" t="n"/>
      <c r="D337" s="5" t="n"/>
      <c r="E337" s="5" t="n"/>
      <c r="F337" s="6">
        <f>IF(AND(D337&lt;&gt;"",E337&lt;&gt;""),ROUND((E337-D337)*1440,0),"")</f>
        <v/>
      </c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6">
        <f>IF(C337="착유장",기준값!$B$3,IF(C337="건유·육성우동",기준값!$B$2,""))</f>
        <v/>
      </c>
      <c r="V337" s="6">
        <f>IF(AND(F337&lt;&gt;"",F337&gt;0,U337&lt;&gt;""),ROUND((U337-N(K337))/(F337/60),0),"")</f>
        <v/>
      </c>
      <c r="W337" s="6">
        <f>IF(U337&lt;&gt;"",ROUND(N(K337)/U337*100,1),"")</f>
        <v/>
      </c>
    </row>
    <row r="338">
      <c r="A338" s="3" t="n"/>
      <c r="B338" s="4" t="n"/>
      <c r="C338" s="4" t="n"/>
      <c r="D338" s="5" t="n"/>
      <c r="E338" s="5" t="n"/>
      <c r="F338" s="6">
        <f>IF(AND(D338&lt;&gt;"",E338&lt;&gt;""),ROUND((E338-D338)*1440,0),"")</f>
        <v/>
      </c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6">
        <f>IF(C338="착유장",기준값!$B$3,IF(C338="건유·육성우동",기준값!$B$2,""))</f>
        <v/>
      </c>
      <c r="V338" s="6">
        <f>IF(AND(F338&lt;&gt;"",F338&gt;0,U338&lt;&gt;""),ROUND((U338-N(K338))/(F338/60),0),"")</f>
        <v/>
      </c>
      <c r="W338" s="6">
        <f>IF(U338&lt;&gt;"",ROUND(N(K338)/U338*100,1),"")</f>
        <v/>
      </c>
    </row>
    <row r="339">
      <c r="A339" s="3" t="n"/>
      <c r="B339" s="4" t="n"/>
      <c r="C339" s="4" t="n"/>
      <c r="D339" s="5" t="n"/>
      <c r="E339" s="5" t="n"/>
      <c r="F339" s="6">
        <f>IF(AND(D339&lt;&gt;"",E339&lt;&gt;""),ROUND((E339-D339)*1440,0),"")</f>
        <v/>
      </c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6">
        <f>IF(C339="착유장",기준값!$B$3,IF(C339="건유·육성우동",기준값!$B$2,""))</f>
        <v/>
      </c>
      <c r="V339" s="6">
        <f>IF(AND(F339&lt;&gt;"",F339&gt;0,U339&lt;&gt;""),ROUND((U339-N(K339))/(F339/60),0),"")</f>
        <v/>
      </c>
      <c r="W339" s="6">
        <f>IF(U339&lt;&gt;"",ROUND(N(K339)/U339*100,1),"")</f>
        <v/>
      </c>
    </row>
    <row r="340">
      <c r="A340" s="3" t="n"/>
      <c r="B340" s="4" t="n"/>
      <c r="C340" s="4" t="n"/>
      <c r="D340" s="5" t="n"/>
      <c r="E340" s="5" t="n"/>
      <c r="F340" s="6">
        <f>IF(AND(D340&lt;&gt;"",E340&lt;&gt;""),ROUND((E340-D340)*1440,0),"")</f>
        <v/>
      </c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6">
        <f>IF(C340="착유장",기준값!$B$3,IF(C340="건유·육성우동",기준값!$B$2,""))</f>
        <v/>
      </c>
      <c r="V340" s="6">
        <f>IF(AND(F340&lt;&gt;"",F340&gt;0,U340&lt;&gt;""),ROUND((U340-N(K340))/(F340/60),0),"")</f>
        <v/>
      </c>
      <c r="W340" s="6">
        <f>IF(U340&lt;&gt;"",ROUND(N(K340)/U340*100,1),"")</f>
        <v/>
      </c>
    </row>
    <row r="341">
      <c r="A341" s="3" t="n"/>
      <c r="B341" s="4" t="n"/>
      <c r="C341" s="4" t="n"/>
      <c r="D341" s="5" t="n"/>
      <c r="E341" s="5" t="n"/>
      <c r="F341" s="6">
        <f>IF(AND(D341&lt;&gt;"",E341&lt;&gt;""),ROUND((E341-D341)*1440,0),"")</f>
        <v/>
      </c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6">
        <f>IF(C341="착유장",기준값!$B$3,IF(C341="건유·육성우동",기준값!$B$2,""))</f>
        <v/>
      </c>
      <c r="V341" s="6">
        <f>IF(AND(F341&lt;&gt;"",F341&gt;0,U341&lt;&gt;""),ROUND((U341-N(K341))/(F341/60),0),"")</f>
        <v/>
      </c>
      <c r="W341" s="6">
        <f>IF(U341&lt;&gt;"",ROUND(N(K341)/U341*100,1),"")</f>
        <v/>
      </c>
    </row>
    <row r="342">
      <c r="A342" s="3" t="n"/>
      <c r="B342" s="4" t="n"/>
      <c r="C342" s="4" t="n"/>
      <c r="D342" s="5" t="n"/>
      <c r="E342" s="5" t="n"/>
      <c r="F342" s="6">
        <f>IF(AND(D342&lt;&gt;"",E342&lt;&gt;""),ROUND((E342-D342)*1440,0),"")</f>
        <v/>
      </c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6">
        <f>IF(C342="착유장",기준값!$B$3,IF(C342="건유·육성우동",기준값!$B$2,""))</f>
        <v/>
      </c>
      <c r="V342" s="6">
        <f>IF(AND(F342&lt;&gt;"",F342&gt;0,U342&lt;&gt;""),ROUND((U342-N(K342))/(F342/60),0),"")</f>
        <v/>
      </c>
      <c r="W342" s="6">
        <f>IF(U342&lt;&gt;"",ROUND(N(K342)/U342*100,1),"")</f>
        <v/>
      </c>
    </row>
    <row r="343">
      <c r="A343" s="3" t="n"/>
      <c r="B343" s="4" t="n"/>
      <c r="C343" s="4" t="n"/>
      <c r="D343" s="5" t="n"/>
      <c r="E343" s="5" t="n"/>
      <c r="F343" s="6">
        <f>IF(AND(D343&lt;&gt;"",E343&lt;&gt;""),ROUND((E343-D343)*1440,0),"")</f>
        <v/>
      </c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6">
        <f>IF(C343="착유장",기준값!$B$3,IF(C343="건유·육성우동",기준값!$B$2,""))</f>
        <v/>
      </c>
      <c r="V343" s="6">
        <f>IF(AND(F343&lt;&gt;"",F343&gt;0,U343&lt;&gt;""),ROUND((U343-N(K343))/(F343/60),0),"")</f>
        <v/>
      </c>
      <c r="W343" s="6">
        <f>IF(U343&lt;&gt;"",ROUND(N(K343)/U343*100,1),"")</f>
        <v/>
      </c>
    </row>
    <row r="344">
      <c r="A344" s="3" t="n"/>
      <c r="B344" s="4" t="n"/>
      <c r="C344" s="4" t="n"/>
      <c r="D344" s="5" t="n"/>
      <c r="E344" s="5" t="n"/>
      <c r="F344" s="6">
        <f>IF(AND(D344&lt;&gt;"",E344&lt;&gt;""),ROUND((E344-D344)*1440,0),"")</f>
        <v/>
      </c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6">
        <f>IF(C344="착유장",기준값!$B$3,IF(C344="건유·육성우동",기준값!$B$2,""))</f>
        <v/>
      </c>
      <c r="V344" s="6">
        <f>IF(AND(F344&lt;&gt;"",F344&gt;0,U344&lt;&gt;""),ROUND((U344-N(K344))/(F344/60),0),"")</f>
        <v/>
      </c>
      <c r="W344" s="6">
        <f>IF(U344&lt;&gt;"",ROUND(N(K344)/U344*100,1),"")</f>
        <v/>
      </c>
    </row>
    <row r="345">
      <c r="A345" s="3" t="n"/>
      <c r="B345" s="4" t="n"/>
      <c r="C345" s="4" t="n"/>
      <c r="D345" s="5" t="n"/>
      <c r="E345" s="5" t="n"/>
      <c r="F345" s="6">
        <f>IF(AND(D345&lt;&gt;"",E345&lt;&gt;""),ROUND((E345-D345)*1440,0),"")</f>
        <v/>
      </c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6">
        <f>IF(C345="착유장",기준값!$B$3,IF(C345="건유·육성우동",기준값!$B$2,""))</f>
        <v/>
      </c>
      <c r="V345" s="6">
        <f>IF(AND(F345&lt;&gt;"",F345&gt;0,U345&lt;&gt;""),ROUND((U345-N(K345))/(F345/60),0),"")</f>
        <v/>
      </c>
      <c r="W345" s="6">
        <f>IF(U345&lt;&gt;"",ROUND(N(K345)/U345*100,1),"")</f>
        <v/>
      </c>
    </row>
    <row r="346">
      <c r="A346" s="3" t="n"/>
      <c r="B346" s="4" t="n"/>
      <c r="C346" s="4" t="n"/>
      <c r="D346" s="5" t="n"/>
      <c r="E346" s="5" t="n"/>
      <c r="F346" s="6">
        <f>IF(AND(D346&lt;&gt;"",E346&lt;&gt;""),ROUND((E346-D346)*1440,0),"")</f>
        <v/>
      </c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6">
        <f>IF(C346="착유장",기준값!$B$3,IF(C346="건유·육성우동",기준값!$B$2,""))</f>
        <v/>
      </c>
      <c r="V346" s="6">
        <f>IF(AND(F346&lt;&gt;"",F346&gt;0,U346&lt;&gt;""),ROUND((U346-N(K346))/(F346/60),0),"")</f>
        <v/>
      </c>
      <c r="W346" s="6">
        <f>IF(U346&lt;&gt;"",ROUND(N(K346)/U346*100,1),"")</f>
        <v/>
      </c>
    </row>
    <row r="347">
      <c r="A347" s="3" t="n"/>
      <c r="B347" s="4" t="n"/>
      <c r="C347" s="4" t="n"/>
      <c r="D347" s="5" t="n"/>
      <c r="E347" s="5" t="n"/>
      <c r="F347" s="6">
        <f>IF(AND(D347&lt;&gt;"",E347&lt;&gt;""),ROUND((E347-D347)*1440,0),"")</f>
        <v/>
      </c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6">
        <f>IF(C347="착유장",기준값!$B$3,IF(C347="건유·육성우동",기준값!$B$2,""))</f>
        <v/>
      </c>
      <c r="V347" s="6">
        <f>IF(AND(F347&lt;&gt;"",F347&gt;0,U347&lt;&gt;""),ROUND((U347-N(K347))/(F347/60),0),"")</f>
        <v/>
      </c>
      <c r="W347" s="6">
        <f>IF(U347&lt;&gt;"",ROUND(N(K347)/U347*100,1),"")</f>
        <v/>
      </c>
    </row>
    <row r="348">
      <c r="A348" s="3" t="n"/>
      <c r="B348" s="4" t="n"/>
      <c r="C348" s="4" t="n"/>
      <c r="D348" s="5" t="n"/>
      <c r="E348" s="5" t="n"/>
      <c r="F348" s="6">
        <f>IF(AND(D348&lt;&gt;"",E348&lt;&gt;""),ROUND((E348-D348)*1440,0),"")</f>
        <v/>
      </c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6">
        <f>IF(C348="착유장",기준값!$B$3,IF(C348="건유·육성우동",기준값!$B$2,""))</f>
        <v/>
      </c>
      <c r="V348" s="6">
        <f>IF(AND(F348&lt;&gt;"",F348&gt;0,U348&lt;&gt;""),ROUND((U348-N(K348))/(F348/60),0),"")</f>
        <v/>
      </c>
      <c r="W348" s="6">
        <f>IF(U348&lt;&gt;"",ROUND(N(K348)/U348*100,1),"")</f>
        <v/>
      </c>
    </row>
    <row r="349">
      <c r="A349" s="3" t="n"/>
      <c r="B349" s="4" t="n"/>
      <c r="C349" s="4" t="n"/>
      <c r="D349" s="5" t="n"/>
      <c r="E349" s="5" t="n"/>
      <c r="F349" s="6">
        <f>IF(AND(D349&lt;&gt;"",E349&lt;&gt;""),ROUND((E349-D349)*1440,0),"")</f>
        <v/>
      </c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6">
        <f>IF(C349="착유장",기준값!$B$3,IF(C349="건유·육성우동",기준값!$B$2,""))</f>
        <v/>
      </c>
      <c r="V349" s="6">
        <f>IF(AND(F349&lt;&gt;"",F349&gt;0,U349&lt;&gt;""),ROUND((U349-N(K349))/(F349/60),0),"")</f>
        <v/>
      </c>
      <c r="W349" s="6">
        <f>IF(U349&lt;&gt;"",ROUND(N(K349)/U349*100,1),"")</f>
        <v/>
      </c>
    </row>
    <row r="350">
      <c r="A350" s="3" t="n"/>
      <c r="B350" s="4" t="n"/>
      <c r="C350" s="4" t="n"/>
      <c r="D350" s="5" t="n"/>
      <c r="E350" s="5" t="n"/>
      <c r="F350" s="6">
        <f>IF(AND(D350&lt;&gt;"",E350&lt;&gt;""),ROUND((E350-D350)*1440,0),"")</f>
        <v/>
      </c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6">
        <f>IF(C350="착유장",기준값!$B$3,IF(C350="건유·육성우동",기준값!$B$2,""))</f>
        <v/>
      </c>
      <c r="V350" s="6">
        <f>IF(AND(F350&lt;&gt;"",F350&gt;0,U350&lt;&gt;""),ROUND((U350-N(K350))/(F350/60),0),"")</f>
        <v/>
      </c>
      <c r="W350" s="6">
        <f>IF(U350&lt;&gt;"",ROUND(N(K350)/U350*100,1),"")</f>
        <v/>
      </c>
    </row>
    <row r="351">
      <c r="A351" s="3" t="n"/>
      <c r="B351" s="4" t="n"/>
      <c r="C351" s="4" t="n"/>
      <c r="D351" s="5" t="n"/>
      <c r="E351" s="5" t="n"/>
      <c r="F351" s="6">
        <f>IF(AND(D351&lt;&gt;"",E351&lt;&gt;""),ROUND((E351-D351)*1440,0),"")</f>
        <v/>
      </c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6">
        <f>IF(C351="착유장",기준값!$B$3,IF(C351="건유·육성우동",기준값!$B$2,""))</f>
        <v/>
      </c>
      <c r="V351" s="6">
        <f>IF(AND(F351&lt;&gt;"",F351&gt;0,U351&lt;&gt;""),ROUND((U351-N(K351))/(F351/60),0),"")</f>
        <v/>
      </c>
      <c r="W351" s="6">
        <f>IF(U351&lt;&gt;"",ROUND(N(K351)/U351*100,1),"")</f>
        <v/>
      </c>
    </row>
    <row r="352">
      <c r="A352" s="3" t="n"/>
      <c r="B352" s="4" t="n"/>
      <c r="C352" s="4" t="n"/>
      <c r="D352" s="5" t="n"/>
      <c r="E352" s="5" t="n"/>
      <c r="F352" s="6">
        <f>IF(AND(D352&lt;&gt;"",E352&lt;&gt;""),ROUND((E352-D352)*1440,0),"")</f>
        <v/>
      </c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6">
        <f>IF(C352="착유장",기준값!$B$3,IF(C352="건유·육성우동",기준값!$B$2,""))</f>
        <v/>
      </c>
      <c r="V352" s="6">
        <f>IF(AND(F352&lt;&gt;"",F352&gt;0,U352&lt;&gt;""),ROUND((U352-N(K352))/(F352/60),0),"")</f>
        <v/>
      </c>
      <c r="W352" s="6">
        <f>IF(U352&lt;&gt;"",ROUND(N(K352)/U352*100,1),"")</f>
        <v/>
      </c>
    </row>
    <row r="353">
      <c r="A353" s="3" t="n"/>
      <c r="B353" s="4" t="n"/>
      <c r="C353" s="4" t="n"/>
      <c r="D353" s="5" t="n"/>
      <c r="E353" s="5" t="n"/>
      <c r="F353" s="6">
        <f>IF(AND(D353&lt;&gt;"",E353&lt;&gt;""),ROUND((E353-D353)*1440,0),"")</f>
        <v/>
      </c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6">
        <f>IF(C353="착유장",기준값!$B$3,IF(C353="건유·육성우동",기준값!$B$2,""))</f>
        <v/>
      </c>
      <c r="V353" s="6">
        <f>IF(AND(F353&lt;&gt;"",F353&gt;0,U353&lt;&gt;""),ROUND((U353-N(K353))/(F353/60),0),"")</f>
        <v/>
      </c>
      <c r="W353" s="6">
        <f>IF(U353&lt;&gt;"",ROUND(N(K353)/U353*100,1),"")</f>
        <v/>
      </c>
    </row>
    <row r="354">
      <c r="A354" s="3" t="n"/>
      <c r="B354" s="4" t="n"/>
      <c r="C354" s="4" t="n"/>
      <c r="D354" s="5" t="n"/>
      <c r="E354" s="5" t="n"/>
      <c r="F354" s="6">
        <f>IF(AND(D354&lt;&gt;"",E354&lt;&gt;""),ROUND((E354-D354)*1440,0),"")</f>
        <v/>
      </c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6">
        <f>IF(C354="착유장",기준값!$B$3,IF(C354="건유·육성우동",기준값!$B$2,""))</f>
        <v/>
      </c>
      <c r="V354" s="6">
        <f>IF(AND(F354&lt;&gt;"",F354&gt;0,U354&lt;&gt;""),ROUND((U354-N(K354))/(F354/60),0),"")</f>
        <v/>
      </c>
      <c r="W354" s="6">
        <f>IF(U354&lt;&gt;"",ROUND(N(K354)/U354*100,1),"")</f>
        <v/>
      </c>
    </row>
    <row r="355">
      <c r="A355" s="3" t="n"/>
      <c r="B355" s="4" t="n"/>
      <c r="C355" s="4" t="n"/>
      <c r="D355" s="5" t="n"/>
      <c r="E355" s="5" t="n"/>
      <c r="F355" s="6">
        <f>IF(AND(D355&lt;&gt;"",E355&lt;&gt;""),ROUND((E355-D355)*1440,0),"")</f>
        <v/>
      </c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6">
        <f>IF(C355="착유장",기준값!$B$3,IF(C355="건유·육성우동",기준값!$B$2,""))</f>
        <v/>
      </c>
      <c r="V355" s="6">
        <f>IF(AND(F355&lt;&gt;"",F355&gt;0,U355&lt;&gt;""),ROUND((U355-N(K355))/(F355/60),0),"")</f>
        <v/>
      </c>
      <c r="W355" s="6">
        <f>IF(U355&lt;&gt;"",ROUND(N(K355)/U355*100,1),"")</f>
        <v/>
      </c>
    </row>
    <row r="356">
      <c r="A356" s="3" t="n"/>
      <c r="B356" s="4" t="n"/>
      <c r="C356" s="4" t="n"/>
      <c r="D356" s="5" t="n"/>
      <c r="E356" s="5" t="n"/>
      <c r="F356" s="6">
        <f>IF(AND(D356&lt;&gt;"",E356&lt;&gt;""),ROUND((E356-D356)*1440,0),"")</f>
        <v/>
      </c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6">
        <f>IF(C356="착유장",기준값!$B$3,IF(C356="건유·육성우동",기준값!$B$2,""))</f>
        <v/>
      </c>
      <c r="V356" s="6">
        <f>IF(AND(F356&lt;&gt;"",F356&gt;0,U356&lt;&gt;""),ROUND((U356-N(K356))/(F356/60),0),"")</f>
        <v/>
      </c>
      <c r="W356" s="6">
        <f>IF(U356&lt;&gt;"",ROUND(N(K356)/U356*100,1),"")</f>
        <v/>
      </c>
    </row>
    <row r="357">
      <c r="A357" s="3" t="n"/>
      <c r="B357" s="4" t="n"/>
      <c r="C357" s="4" t="n"/>
      <c r="D357" s="5" t="n"/>
      <c r="E357" s="5" t="n"/>
      <c r="F357" s="6">
        <f>IF(AND(D357&lt;&gt;"",E357&lt;&gt;""),ROUND((E357-D357)*1440,0),"")</f>
        <v/>
      </c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6">
        <f>IF(C357="착유장",기준값!$B$3,IF(C357="건유·육성우동",기준값!$B$2,""))</f>
        <v/>
      </c>
      <c r="V357" s="6">
        <f>IF(AND(F357&lt;&gt;"",F357&gt;0,U357&lt;&gt;""),ROUND((U357-N(K357))/(F357/60),0),"")</f>
        <v/>
      </c>
      <c r="W357" s="6">
        <f>IF(U357&lt;&gt;"",ROUND(N(K357)/U357*100,1),"")</f>
        <v/>
      </c>
    </row>
    <row r="358">
      <c r="A358" s="3" t="n"/>
      <c r="B358" s="4" t="n"/>
      <c r="C358" s="4" t="n"/>
      <c r="D358" s="5" t="n"/>
      <c r="E358" s="5" t="n"/>
      <c r="F358" s="6">
        <f>IF(AND(D358&lt;&gt;"",E358&lt;&gt;""),ROUND((E358-D358)*1440,0),"")</f>
        <v/>
      </c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6">
        <f>IF(C358="착유장",기준값!$B$3,IF(C358="건유·육성우동",기준값!$B$2,""))</f>
        <v/>
      </c>
      <c r="V358" s="6">
        <f>IF(AND(F358&lt;&gt;"",F358&gt;0,U358&lt;&gt;""),ROUND((U358-N(K358))/(F358/60),0),"")</f>
        <v/>
      </c>
      <c r="W358" s="6">
        <f>IF(U358&lt;&gt;"",ROUND(N(K358)/U358*100,1),"")</f>
        <v/>
      </c>
    </row>
    <row r="359">
      <c r="A359" s="3" t="n"/>
      <c r="B359" s="4" t="n"/>
      <c r="C359" s="4" t="n"/>
      <c r="D359" s="5" t="n"/>
      <c r="E359" s="5" t="n"/>
      <c r="F359" s="6">
        <f>IF(AND(D359&lt;&gt;"",E359&lt;&gt;""),ROUND((E359-D359)*1440,0),"")</f>
        <v/>
      </c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6">
        <f>IF(C359="착유장",기준값!$B$3,IF(C359="건유·육성우동",기준값!$B$2,""))</f>
        <v/>
      </c>
      <c r="V359" s="6">
        <f>IF(AND(F359&lt;&gt;"",F359&gt;0,U359&lt;&gt;""),ROUND((U359-N(K359))/(F359/60),0),"")</f>
        <v/>
      </c>
      <c r="W359" s="6">
        <f>IF(U359&lt;&gt;"",ROUND(N(K359)/U359*100,1),"")</f>
        <v/>
      </c>
    </row>
    <row r="360">
      <c r="A360" s="3" t="n"/>
      <c r="B360" s="4" t="n"/>
      <c r="C360" s="4" t="n"/>
      <c r="D360" s="5" t="n"/>
      <c r="E360" s="5" t="n"/>
      <c r="F360" s="6">
        <f>IF(AND(D360&lt;&gt;"",E360&lt;&gt;""),ROUND((E360-D360)*1440,0),"")</f>
        <v/>
      </c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6">
        <f>IF(C360="착유장",기준값!$B$3,IF(C360="건유·육성우동",기준값!$B$2,""))</f>
        <v/>
      </c>
      <c r="V360" s="6">
        <f>IF(AND(F360&lt;&gt;"",F360&gt;0,U360&lt;&gt;""),ROUND((U360-N(K360))/(F360/60),0),"")</f>
        <v/>
      </c>
      <c r="W360" s="6">
        <f>IF(U360&lt;&gt;"",ROUND(N(K360)/U360*100,1),"")</f>
        <v/>
      </c>
    </row>
    <row r="361">
      <c r="A361" s="3" t="n"/>
      <c r="B361" s="4" t="n"/>
      <c r="C361" s="4" t="n"/>
      <c r="D361" s="5" t="n"/>
      <c r="E361" s="5" t="n"/>
      <c r="F361" s="6">
        <f>IF(AND(D361&lt;&gt;"",E361&lt;&gt;""),ROUND((E361-D361)*1440,0),"")</f>
        <v/>
      </c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6">
        <f>IF(C361="착유장",기준값!$B$3,IF(C361="건유·육성우동",기준값!$B$2,""))</f>
        <v/>
      </c>
      <c r="V361" s="6">
        <f>IF(AND(F361&lt;&gt;"",F361&gt;0,U361&lt;&gt;""),ROUND((U361-N(K361))/(F361/60),0),"")</f>
        <v/>
      </c>
      <c r="W361" s="6">
        <f>IF(U361&lt;&gt;"",ROUND(N(K361)/U361*100,1),"")</f>
        <v/>
      </c>
    </row>
    <row r="362">
      <c r="A362" s="3" t="n"/>
      <c r="B362" s="4" t="n"/>
      <c r="C362" s="4" t="n"/>
      <c r="D362" s="5" t="n"/>
      <c r="E362" s="5" t="n"/>
      <c r="F362" s="6">
        <f>IF(AND(D362&lt;&gt;"",E362&lt;&gt;""),ROUND((E362-D362)*1440,0),"")</f>
        <v/>
      </c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6">
        <f>IF(C362="착유장",기준값!$B$3,IF(C362="건유·육성우동",기준값!$B$2,""))</f>
        <v/>
      </c>
      <c r="V362" s="6">
        <f>IF(AND(F362&lt;&gt;"",F362&gt;0,U362&lt;&gt;""),ROUND((U362-N(K362))/(F362/60),0),"")</f>
        <v/>
      </c>
      <c r="W362" s="6">
        <f>IF(U362&lt;&gt;"",ROUND(N(K362)/U362*100,1),"")</f>
        <v/>
      </c>
    </row>
    <row r="363">
      <c r="A363" s="3" t="n"/>
      <c r="B363" s="4" t="n"/>
      <c r="C363" s="4" t="n"/>
      <c r="D363" s="5" t="n"/>
      <c r="E363" s="5" t="n"/>
      <c r="F363" s="6">
        <f>IF(AND(D363&lt;&gt;"",E363&lt;&gt;""),ROUND((E363-D363)*1440,0),"")</f>
        <v/>
      </c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6">
        <f>IF(C363="착유장",기준값!$B$3,IF(C363="건유·육성우동",기준값!$B$2,""))</f>
        <v/>
      </c>
      <c r="V363" s="6">
        <f>IF(AND(F363&lt;&gt;"",F363&gt;0,U363&lt;&gt;""),ROUND((U363-N(K363))/(F363/60),0),"")</f>
        <v/>
      </c>
      <c r="W363" s="6">
        <f>IF(U363&lt;&gt;"",ROUND(N(K363)/U363*100,1),"")</f>
        <v/>
      </c>
    </row>
    <row r="364">
      <c r="A364" s="3" t="n"/>
      <c r="B364" s="4" t="n"/>
      <c r="C364" s="4" t="n"/>
      <c r="D364" s="5" t="n"/>
      <c r="E364" s="5" t="n"/>
      <c r="F364" s="6">
        <f>IF(AND(D364&lt;&gt;"",E364&lt;&gt;""),ROUND((E364-D364)*1440,0),"")</f>
        <v/>
      </c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6">
        <f>IF(C364="착유장",기준값!$B$3,IF(C364="건유·육성우동",기준값!$B$2,""))</f>
        <v/>
      </c>
      <c r="V364" s="6">
        <f>IF(AND(F364&lt;&gt;"",F364&gt;0,U364&lt;&gt;""),ROUND((U364-N(K364))/(F364/60),0),"")</f>
        <v/>
      </c>
      <c r="W364" s="6">
        <f>IF(U364&lt;&gt;"",ROUND(N(K364)/U364*100,1),"")</f>
        <v/>
      </c>
    </row>
    <row r="365">
      <c r="A365" s="3" t="n"/>
      <c r="B365" s="4" t="n"/>
      <c r="C365" s="4" t="n"/>
      <c r="D365" s="5" t="n"/>
      <c r="E365" s="5" t="n"/>
      <c r="F365" s="6">
        <f>IF(AND(D365&lt;&gt;"",E365&lt;&gt;""),ROUND((E365-D365)*1440,0),"")</f>
        <v/>
      </c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6">
        <f>IF(C365="착유장",기준값!$B$3,IF(C365="건유·육성우동",기준값!$B$2,""))</f>
        <v/>
      </c>
      <c r="V365" s="6">
        <f>IF(AND(F365&lt;&gt;"",F365&gt;0,U365&lt;&gt;""),ROUND((U365-N(K365))/(F365/60),0),"")</f>
        <v/>
      </c>
      <c r="W365" s="6">
        <f>IF(U365&lt;&gt;"",ROUND(N(K365)/U365*100,1),"")</f>
        <v/>
      </c>
    </row>
    <row r="366">
      <c r="A366" s="3" t="n"/>
      <c r="B366" s="4" t="n"/>
      <c r="C366" s="4" t="n"/>
      <c r="D366" s="5" t="n"/>
      <c r="E366" s="5" t="n"/>
      <c r="F366" s="6">
        <f>IF(AND(D366&lt;&gt;"",E366&lt;&gt;""),ROUND((E366-D366)*1440,0),"")</f>
        <v/>
      </c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6">
        <f>IF(C366="착유장",기준값!$B$3,IF(C366="건유·육성우동",기준값!$B$2,""))</f>
        <v/>
      </c>
      <c r="V366" s="6">
        <f>IF(AND(F366&lt;&gt;"",F366&gt;0,U366&lt;&gt;""),ROUND((U366-N(K366))/(F366/60),0),"")</f>
        <v/>
      </c>
      <c r="W366" s="6">
        <f>IF(U366&lt;&gt;"",ROUND(N(K366)/U366*100,1),"")</f>
        <v/>
      </c>
    </row>
    <row r="367">
      <c r="A367" s="3" t="n"/>
      <c r="B367" s="4" t="n"/>
      <c r="C367" s="4" t="n"/>
      <c r="D367" s="5" t="n"/>
      <c r="E367" s="5" t="n"/>
      <c r="F367" s="6">
        <f>IF(AND(D367&lt;&gt;"",E367&lt;&gt;""),ROUND((E367-D367)*1440,0),"")</f>
        <v/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6">
        <f>IF(C367="착유장",기준값!$B$3,IF(C367="건유·육성우동",기준값!$B$2,""))</f>
        <v/>
      </c>
      <c r="V367" s="6">
        <f>IF(AND(F367&lt;&gt;"",F367&gt;0,U367&lt;&gt;""),ROUND((U367-N(K367))/(F367/60),0),"")</f>
        <v/>
      </c>
      <c r="W367" s="6">
        <f>IF(U367&lt;&gt;"",ROUND(N(K367)/U367*100,1),"")</f>
        <v/>
      </c>
    </row>
    <row r="368">
      <c r="A368" s="3" t="n"/>
      <c r="B368" s="4" t="n"/>
      <c r="C368" s="4" t="n"/>
      <c r="D368" s="5" t="n"/>
      <c r="E368" s="5" t="n"/>
      <c r="F368" s="6">
        <f>IF(AND(D368&lt;&gt;"",E368&lt;&gt;""),ROUND((E368-D368)*1440,0),"")</f>
        <v/>
      </c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6">
        <f>IF(C368="착유장",기준값!$B$3,IF(C368="건유·육성우동",기준값!$B$2,""))</f>
        <v/>
      </c>
      <c r="V368" s="6">
        <f>IF(AND(F368&lt;&gt;"",F368&gt;0,U368&lt;&gt;""),ROUND((U368-N(K368))/(F368/60),0),"")</f>
        <v/>
      </c>
      <c r="W368" s="6">
        <f>IF(U368&lt;&gt;"",ROUND(N(K368)/U368*100,1),"")</f>
        <v/>
      </c>
    </row>
    <row r="369">
      <c r="A369" s="3" t="n"/>
      <c r="B369" s="4" t="n"/>
      <c r="C369" s="4" t="n"/>
      <c r="D369" s="5" t="n"/>
      <c r="E369" s="5" t="n"/>
      <c r="F369" s="6">
        <f>IF(AND(D369&lt;&gt;"",E369&lt;&gt;""),ROUND((E369-D369)*1440,0),"")</f>
        <v/>
      </c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6">
        <f>IF(C369="착유장",기준값!$B$3,IF(C369="건유·육성우동",기준값!$B$2,""))</f>
        <v/>
      </c>
      <c r="V369" s="6">
        <f>IF(AND(F369&lt;&gt;"",F369&gt;0,U369&lt;&gt;""),ROUND((U369-N(K369))/(F369/60),0),"")</f>
        <v/>
      </c>
      <c r="W369" s="6">
        <f>IF(U369&lt;&gt;"",ROUND(N(K369)/U369*100,1),"")</f>
        <v/>
      </c>
    </row>
    <row r="370">
      <c r="A370" s="3" t="n"/>
      <c r="B370" s="4" t="n"/>
      <c r="C370" s="4" t="n"/>
      <c r="D370" s="5" t="n"/>
      <c r="E370" s="5" t="n"/>
      <c r="F370" s="6">
        <f>IF(AND(D370&lt;&gt;"",E370&lt;&gt;""),ROUND((E370-D370)*1440,0),"")</f>
        <v/>
      </c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6">
        <f>IF(C370="착유장",기준값!$B$3,IF(C370="건유·육성우동",기준값!$B$2,""))</f>
        <v/>
      </c>
      <c r="V370" s="6">
        <f>IF(AND(F370&lt;&gt;"",F370&gt;0,U370&lt;&gt;""),ROUND((U370-N(K370))/(F370/60),0),"")</f>
        <v/>
      </c>
      <c r="W370" s="6">
        <f>IF(U370&lt;&gt;"",ROUND(N(K370)/U370*100,1),"")</f>
        <v/>
      </c>
    </row>
    <row r="371">
      <c r="A371" s="3" t="n"/>
      <c r="B371" s="4" t="n"/>
      <c r="C371" s="4" t="n"/>
      <c r="D371" s="5" t="n"/>
      <c r="E371" s="5" t="n"/>
      <c r="F371" s="6">
        <f>IF(AND(D371&lt;&gt;"",E371&lt;&gt;""),ROUND((E371-D371)*1440,0),"")</f>
        <v/>
      </c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6">
        <f>IF(C371="착유장",기준값!$B$3,IF(C371="건유·육성우동",기준값!$B$2,""))</f>
        <v/>
      </c>
      <c r="V371" s="6">
        <f>IF(AND(F371&lt;&gt;"",F371&gt;0,U371&lt;&gt;""),ROUND((U371-N(K371))/(F371/60),0),"")</f>
        <v/>
      </c>
      <c r="W371" s="6">
        <f>IF(U371&lt;&gt;"",ROUND(N(K371)/U371*100,1),"")</f>
        <v/>
      </c>
    </row>
    <row r="372">
      <c r="A372" s="3" t="n"/>
      <c r="B372" s="4" t="n"/>
      <c r="C372" s="4" t="n"/>
      <c r="D372" s="5" t="n"/>
      <c r="E372" s="5" t="n"/>
      <c r="F372" s="6">
        <f>IF(AND(D372&lt;&gt;"",E372&lt;&gt;""),ROUND((E372-D372)*1440,0),"")</f>
        <v/>
      </c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6">
        <f>IF(C372="착유장",기준값!$B$3,IF(C372="건유·육성우동",기준값!$B$2,""))</f>
        <v/>
      </c>
      <c r="V372" s="6">
        <f>IF(AND(F372&lt;&gt;"",F372&gt;0,U372&lt;&gt;""),ROUND((U372-N(K372))/(F372/60),0),"")</f>
        <v/>
      </c>
      <c r="W372" s="6">
        <f>IF(U372&lt;&gt;"",ROUND(N(K372)/U372*100,1),"")</f>
        <v/>
      </c>
    </row>
    <row r="373">
      <c r="A373" s="3" t="n"/>
      <c r="B373" s="4" t="n"/>
      <c r="C373" s="4" t="n"/>
      <c r="D373" s="5" t="n"/>
      <c r="E373" s="5" t="n"/>
      <c r="F373" s="6">
        <f>IF(AND(D373&lt;&gt;"",E373&lt;&gt;""),ROUND((E373-D373)*1440,0),"")</f>
        <v/>
      </c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6">
        <f>IF(C373="착유장",기준값!$B$3,IF(C373="건유·육성우동",기준값!$B$2,""))</f>
        <v/>
      </c>
      <c r="V373" s="6">
        <f>IF(AND(F373&lt;&gt;"",F373&gt;0,U373&lt;&gt;""),ROUND((U373-N(K373))/(F373/60),0),"")</f>
        <v/>
      </c>
      <c r="W373" s="6">
        <f>IF(U373&lt;&gt;"",ROUND(N(K373)/U373*100,1),"")</f>
        <v/>
      </c>
    </row>
    <row r="374">
      <c r="A374" s="3" t="n"/>
      <c r="B374" s="4" t="n"/>
      <c r="C374" s="4" t="n"/>
      <c r="D374" s="5" t="n"/>
      <c r="E374" s="5" t="n"/>
      <c r="F374" s="6">
        <f>IF(AND(D374&lt;&gt;"",E374&lt;&gt;""),ROUND((E374-D374)*1440,0),"")</f>
        <v/>
      </c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6">
        <f>IF(C374="착유장",기준값!$B$3,IF(C374="건유·육성우동",기준값!$B$2,""))</f>
        <v/>
      </c>
      <c r="V374" s="6">
        <f>IF(AND(F374&lt;&gt;"",F374&gt;0,U374&lt;&gt;""),ROUND((U374-N(K374))/(F374/60),0),"")</f>
        <v/>
      </c>
      <c r="W374" s="6">
        <f>IF(U374&lt;&gt;"",ROUND(N(K374)/U374*100,1),"")</f>
        <v/>
      </c>
    </row>
    <row r="375">
      <c r="A375" s="3" t="n"/>
      <c r="B375" s="4" t="n"/>
      <c r="C375" s="4" t="n"/>
      <c r="D375" s="5" t="n"/>
      <c r="E375" s="5" t="n"/>
      <c r="F375" s="6">
        <f>IF(AND(D375&lt;&gt;"",E375&lt;&gt;""),ROUND((E375-D375)*1440,0),"")</f>
        <v/>
      </c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6">
        <f>IF(C375="착유장",기준값!$B$3,IF(C375="건유·육성우동",기준값!$B$2,""))</f>
        <v/>
      </c>
      <c r="V375" s="6">
        <f>IF(AND(F375&lt;&gt;"",F375&gt;0,U375&lt;&gt;""),ROUND((U375-N(K375))/(F375/60),0),"")</f>
        <v/>
      </c>
      <c r="W375" s="6">
        <f>IF(U375&lt;&gt;"",ROUND(N(K375)/U375*100,1),"")</f>
        <v/>
      </c>
    </row>
    <row r="376">
      <c r="A376" s="3" t="n"/>
      <c r="B376" s="4" t="n"/>
      <c r="C376" s="4" t="n"/>
      <c r="D376" s="5" t="n"/>
      <c r="E376" s="5" t="n"/>
      <c r="F376" s="6">
        <f>IF(AND(D376&lt;&gt;"",E376&lt;&gt;""),ROUND((E376-D376)*1440,0),"")</f>
        <v/>
      </c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6">
        <f>IF(C376="착유장",기준값!$B$3,IF(C376="건유·육성우동",기준값!$B$2,""))</f>
        <v/>
      </c>
      <c r="V376" s="6">
        <f>IF(AND(F376&lt;&gt;"",F376&gt;0,U376&lt;&gt;""),ROUND((U376-N(K376))/(F376/60),0),"")</f>
        <v/>
      </c>
      <c r="W376" s="6">
        <f>IF(U376&lt;&gt;"",ROUND(N(K376)/U376*100,1),"")</f>
        <v/>
      </c>
    </row>
    <row r="377">
      <c r="A377" s="3" t="n"/>
      <c r="B377" s="4" t="n"/>
      <c r="C377" s="4" t="n"/>
      <c r="D377" s="5" t="n"/>
      <c r="E377" s="5" t="n"/>
      <c r="F377" s="6">
        <f>IF(AND(D377&lt;&gt;"",E377&lt;&gt;""),ROUND((E377-D377)*1440,0),"")</f>
        <v/>
      </c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6">
        <f>IF(C377="착유장",기준값!$B$3,IF(C377="건유·육성우동",기준값!$B$2,""))</f>
        <v/>
      </c>
      <c r="V377" s="6">
        <f>IF(AND(F377&lt;&gt;"",F377&gt;0,U377&lt;&gt;""),ROUND((U377-N(K377))/(F377/60),0),"")</f>
        <v/>
      </c>
      <c r="W377" s="6">
        <f>IF(U377&lt;&gt;"",ROUND(N(K377)/U377*100,1),"")</f>
        <v/>
      </c>
    </row>
    <row r="378">
      <c r="A378" s="3" t="n"/>
      <c r="B378" s="4" t="n"/>
      <c r="C378" s="4" t="n"/>
      <c r="D378" s="5" t="n"/>
      <c r="E378" s="5" t="n"/>
      <c r="F378" s="6">
        <f>IF(AND(D378&lt;&gt;"",E378&lt;&gt;""),ROUND((E378-D378)*1440,0),"")</f>
        <v/>
      </c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6">
        <f>IF(C378="착유장",기준값!$B$3,IF(C378="건유·육성우동",기준값!$B$2,""))</f>
        <v/>
      </c>
      <c r="V378" s="6">
        <f>IF(AND(F378&lt;&gt;"",F378&gt;0,U378&lt;&gt;""),ROUND((U378-N(K378))/(F378/60),0),"")</f>
        <v/>
      </c>
      <c r="W378" s="6">
        <f>IF(U378&lt;&gt;"",ROUND(N(K378)/U378*100,1),"")</f>
        <v/>
      </c>
    </row>
    <row r="379">
      <c r="A379" s="3" t="n"/>
      <c r="B379" s="4" t="n"/>
      <c r="C379" s="4" t="n"/>
      <c r="D379" s="5" t="n"/>
      <c r="E379" s="5" t="n"/>
      <c r="F379" s="6">
        <f>IF(AND(D379&lt;&gt;"",E379&lt;&gt;""),ROUND((E379-D379)*1440,0),"")</f>
        <v/>
      </c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6">
        <f>IF(C379="착유장",기준값!$B$3,IF(C379="건유·육성우동",기준값!$B$2,""))</f>
        <v/>
      </c>
      <c r="V379" s="6">
        <f>IF(AND(F379&lt;&gt;"",F379&gt;0,U379&lt;&gt;""),ROUND((U379-N(K379))/(F379/60),0),"")</f>
        <v/>
      </c>
      <c r="W379" s="6">
        <f>IF(U379&lt;&gt;"",ROUND(N(K379)/U379*100,1),"")</f>
        <v/>
      </c>
    </row>
    <row r="380">
      <c r="A380" s="3" t="n"/>
      <c r="B380" s="4" t="n"/>
      <c r="C380" s="4" t="n"/>
      <c r="D380" s="5" t="n"/>
      <c r="E380" s="5" t="n"/>
      <c r="F380" s="6">
        <f>IF(AND(D380&lt;&gt;"",E380&lt;&gt;""),ROUND((E380-D380)*1440,0),"")</f>
        <v/>
      </c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6">
        <f>IF(C380="착유장",기준값!$B$3,IF(C380="건유·육성우동",기준값!$B$2,""))</f>
        <v/>
      </c>
      <c r="V380" s="6">
        <f>IF(AND(F380&lt;&gt;"",F380&gt;0,U380&lt;&gt;""),ROUND((U380-N(K380))/(F380/60),0),"")</f>
        <v/>
      </c>
      <c r="W380" s="6">
        <f>IF(U380&lt;&gt;"",ROUND(N(K380)/U380*100,1),"")</f>
        <v/>
      </c>
    </row>
    <row r="381">
      <c r="A381" s="3" t="n"/>
      <c r="B381" s="4" t="n"/>
      <c r="C381" s="4" t="n"/>
      <c r="D381" s="5" t="n"/>
      <c r="E381" s="5" t="n"/>
      <c r="F381" s="6">
        <f>IF(AND(D381&lt;&gt;"",E381&lt;&gt;""),ROUND((E381-D381)*1440,0),"")</f>
        <v/>
      </c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6">
        <f>IF(C381="착유장",기준값!$B$3,IF(C381="건유·육성우동",기준값!$B$2,""))</f>
        <v/>
      </c>
      <c r="V381" s="6">
        <f>IF(AND(F381&lt;&gt;"",F381&gt;0,U381&lt;&gt;""),ROUND((U381-N(K381))/(F381/60),0),"")</f>
        <v/>
      </c>
      <c r="W381" s="6">
        <f>IF(U381&lt;&gt;"",ROUND(N(K381)/U381*100,1),"")</f>
        <v/>
      </c>
    </row>
    <row r="382">
      <c r="A382" s="3" t="n"/>
      <c r="B382" s="4" t="n"/>
      <c r="C382" s="4" t="n"/>
      <c r="D382" s="5" t="n"/>
      <c r="E382" s="5" t="n"/>
      <c r="F382" s="6">
        <f>IF(AND(D382&lt;&gt;"",E382&lt;&gt;""),ROUND((E382-D382)*1440,0),"")</f>
        <v/>
      </c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6">
        <f>IF(C382="착유장",기준값!$B$3,IF(C382="건유·육성우동",기준값!$B$2,""))</f>
        <v/>
      </c>
      <c r="V382" s="6">
        <f>IF(AND(F382&lt;&gt;"",F382&gt;0,U382&lt;&gt;""),ROUND((U382-N(K382))/(F382/60),0),"")</f>
        <v/>
      </c>
      <c r="W382" s="6">
        <f>IF(U382&lt;&gt;"",ROUND(N(K382)/U382*100,1),"")</f>
        <v/>
      </c>
    </row>
    <row r="383">
      <c r="A383" s="3" t="n"/>
      <c r="B383" s="4" t="n"/>
      <c r="C383" s="4" t="n"/>
      <c r="D383" s="5" t="n"/>
      <c r="E383" s="5" t="n"/>
      <c r="F383" s="6">
        <f>IF(AND(D383&lt;&gt;"",E383&lt;&gt;""),ROUND((E383-D383)*1440,0),"")</f>
        <v/>
      </c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6">
        <f>IF(C383="착유장",기준값!$B$3,IF(C383="건유·육성우동",기준값!$B$2,""))</f>
        <v/>
      </c>
      <c r="V383" s="6">
        <f>IF(AND(F383&lt;&gt;"",F383&gt;0,U383&lt;&gt;""),ROUND((U383-N(K383))/(F383/60),0),"")</f>
        <v/>
      </c>
      <c r="W383" s="6">
        <f>IF(U383&lt;&gt;"",ROUND(N(K383)/U383*100,1),"")</f>
        <v/>
      </c>
    </row>
    <row r="384">
      <c r="A384" s="3" t="n"/>
      <c r="B384" s="4" t="n"/>
      <c r="C384" s="4" t="n"/>
      <c r="D384" s="5" t="n"/>
      <c r="E384" s="5" t="n"/>
      <c r="F384" s="6">
        <f>IF(AND(D384&lt;&gt;"",E384&lt;&gt;""),ROUND((E384-D384)*1440,0),"")</f>
        <v/>
      </c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6">
        <f>IF(C384="착유장",기준값!$B$3,IF(C384="건유·육성우동",기준값!$B$2,""))</f>
        <v/>
      </c>
      <c r="V384" s="6">
        <f>IF(AND(F384&lt;&gt;"",F384&gt;0,U384&lt;&gt;""),ROUND((U384-N(K384))/(F384/60),0),"")</f>
        <v/>
      </c>
      <c r="W384" s="6">
        <f>IF(U384&lt;&gt;"",ROUND(N(K384)/U384*100,1),"")</f>
        <v/>
      </c>
    </row>
    <row r="385">
      <c r="A385" s="3" t="n"/>
      <c r="B385" s="4" t="n"/>
      <c r="C385" s="4" t="n"/>
      <c r="D385" s="5" t="n"/>
      <c r="E385" s="5" t="n"/>
      <c r="F385" s="6">
        <f>IF(AND(D385&lt;&gt;"",E385&lt;&gt;""),ROUND((E385-D385)*1440,0),"")</f>
        <v/>
      </c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6">
        <f>IF(C385="착유장",기준값!$B$3,IF(C385="건유·육성우동",기준값!$B$2,""))</f>
        <v/>
      </c>
      <c r="V385" s="6">
        <f>IF(AND(F385&lt;&gt;"",F385&gt;0,U385&lt;&gt;""),ROUND((U385-N(K385))/(F385/60),0),"")</f>
        <v/>
      </c>
      <c r="W385" s="6">
        <f>IF(U385&lt;&gt;"",ROUND(N(K385)/U385*100,1),"")</f>
        <v/>
      </c>
    </row>
    <row r="386">
      <c r="A386" s="3" t="n"/>
      <c r="B386" s="4" t="n"/>
      <c r="C386" s="4" t="n"/>
      <c r="D386" s="5" t="n"/>
      <c r="E386" s="5" t="n"/>
      <c r="F386" s="6">
        <f>IF(AND(D386&lt;&gt;"",E386&lt;&gt;""),ROUND((E386-D386)*1440,0),"")</f>
        <v/>
      </c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6">
        <f>IF(C386="착유장",기준값!$B$3,IF(C386="건유·육성우동",기준값!$B$2,""))</f>
        <v/>
      </c>
      <c r="V386" s="6">
        <f>IF(AND(F386&lt;&gt;"",F386&gt;0,U386&lt;&gt;""),ROUND((U386-N(K386))/(F386/60),0),"")</f>
        <v/>
      </c>
      <c r="W386" s="6">
        <f>IF(U386&lt;&gt;"",ROUND(N(K386)/U386*100,1),"")</f>
        <v/>
      </c>
    </row>
    <row r="387">
      <c r="A387" s="3" t="n"/>
      <c r="B387" s="4" t="n"/>
      <c r="C387" s="4" t="n"/>
      <c r="D387" s="5" t="n"/>
      <c r="E387" s="5" t="n"/>
      <c r="F387" s="6">
        <f>IF(AND(D387&lt;&gt;"",E387&lt;&gt;""),ROUND((E387-D387)*1440,0),"")</f>
        <v/>
      </c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6">
        <f>IF(C387="착유장",기준값!$B$3,IF(C387="건유·육성우동",기준값!$B$2,""))</f>
        <v/>
      </c>
      <c r="V387" s="6">
        <f>IF(AND(F387&lt;&gt;"",F387&gt;0,U387&lt;&gt;""),ROUND((U387-N(K387))/(F387/60),0),"")</f>
        <v/>
      </c>
      <c r="W387" s="6">
        <f>IF(U387&lt;&gt;"",ROUND(N(K387)/U387*100,1),"")</f>
        <v/>
      </c>
    </row>
    <row r="388">
      <c r="A388" s="3" t="n"/>
      <c r="B388" s="4" t="n"/>
      <c r="C388" s="4" t="n"/>
      <c r="D388" s="5" t="n"/>
      <c r="E388" s="5" t="n"/>
      <c r="F388" s="6">
        <f>IF(AND(D388&lt;&gt;"",E388&lt;&gt;""),ROUND((E388-D388)*1440,0),"")</f>
        <v/>
      </c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6">
        <f>IF(C388="착유장",기준값!$B$3,IF(C388="건유·육성우동",기준값!$B$2,""))</f>
        <v/>
      </c>
      <c r="V388" s="6">
        <f>IF(AND(F388&lt;&gt;"",F388&gt;0,U388&lt;&gt;""),ROUND((U388-N(K388))/(F388/60),0),"")</f>
        <v/>
      </c>
      <c r="W388" s="6">
        <f>IF(U388&lt;&gt;"",ROUND(N(K388)/U388*100,1),"")</f>
        <v/>
      </c>
    </row>
    <row r="389">
      <c r="A389" s="3" t="n"/>
      <c r="B389" s="4" t="n"/>
      <c r="C389" s="4" t="n"/>
      <c r="D389" s="5" t="n"/>
      <c r="E389" s="5" t="n"/>
      <c r="F389" s="6">
        <f>IF(AND(D389&lt;&gt;"",E389&lt;&gt;""),ROUND((E389-D389)*1440,0),"")</f>
        <v/>
      </c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6">
        <f>IF(C389="착유장",기준값!$B$3,IF(C389="건유·육성우동",기준값!$B$2,""))</f>
        <v/>
      </c>
      <c r="V389" s="6">
        <f>IF(AND(F389&lt;&gt;"",F389&gt;0,U389&lt;&gt;""),ROUND((U389-N(K389))/(F389/60),0),"")</f>
        <v/>
      </c>
      <c r="W389" s="6">
        <f>IF(U389&lt;&gt;"",ROUND(N(K389)/U389*100,1),"")</f>
        <v/>
      </c>
    </row>
    <row r="390">
      <c r="A390" s="3" t="n"/>
      <c r="B390" s="4" t="n"/>
      <c r="C390" s="4" t="n"/>
      <c r="D390" s="5" t="n"/>
      <c r="E390" s="5" t="n"/>
      <c r="F390" s="6">
        <f>IF(AND(D390&lt;&gt;"",E390&lt;&gt;""),ROUND((E390-D390)*1440,0),"")</f>
        <v/>
      </c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6">
        <f>IF(C390="착유장",기준값!$B$3,IF(C390="건유·육성우동",기준값!$B$2,""))</f>
        <v/>
      </c>
      <c r="V390" s="6">
        <f>IF(AND(F390&lt;&gt;"",F390&gt;0,U390&lt;&gt;""),ROUND((U390-N(K390))/(F390/60),0),"")</f>
        <v/>
      </c>
      <c r="W390" s="6">
        <f>IF(U390&lt;&gt;"",ROUND(N(K390)/U390*100,1),"")</f>
        <v/>
      </c>
    </row>
    <row r="391">
      <c r="A391" s="3" t="n"/>
      <c r="B391" s="4" t="n"/>
      <c r="C391" s="4" t="n"/>
      <c r="D391" s="5" t="n"/>
      <c r="E391" s="5" t="n"/>
      <c r="F391" s="6">
        <f>IF(AND(D391&lt;&gt;"",E391&lt;&gt;""),ROUND((E391-D391)*1440,0),"")</f>
        <v/>
      </c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6">
        <f>IF(C391="착유장",기준값!$B$3,IF(C391="건유·육성우동",기준값!$B$2,""))</f>
        <v/>
      </c>
      <c r="V391" s="6">
        <f>IF(AND(F391&lt;&gt;"",F391&gt;0,U391&lt;&gt;""),ROUND((U391-N(K391))/(F391/60),0),"")</f>
        <v/>
      </c>
      <c r="W391" s="6">
        <f>IF(U391&lt;&gt;"",ROUND(N(K391)/U391*100,1),"")</f>
        <v/>
      </c>
    </row>
    <row r="392">
      <c r="A392" s="3" t="n"/>
      <c r="B392" s="4" t="n"/>
      <c r="C392" s="4" t="n"/>
      <c r="D392" s="5" t="n"/>
      <c r="E392" s="5" t="n"/>
      <c r="F392" s="6">
        <f>IF(AND(D392&lt;&gt;"",E392&lt;&gt;""),ROUND((E392-D392)*1440,0),"")</f>
        <v/>
      </c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6">
        <f>IF(C392="착유장",기준값!$B$3,IF(C392="건유·육성우동",기준값!$B$2,""))</f>
        <v/>
      </c>
      <c r="V392" s="6">
        <f>IF(AND(F392&lt;&gt;"",F392&gt;0,U392&lt;&gt;""),ROUND((U392-N(K392))/(F392/60),0),"")</f>
        <v/>
      </c>
      <c r="W392" s="6">
        <f>IF(U392&lt;&gt;"",ROUND(N(K392)/U392*100,1),"")</f>
        <v/>
      </c>
    </row>
    <row r="393">
      <c r="A393" s="3" t="n"/>
      <c r="B393" s="4" t="n"/>
      <c r="C393" s="4" t="n"/>
      <c r="D393" s="5" t="n"/>
      <c r="E393" s="5" t="n"/>
      <c r="F393" s="6">
        <f>IF(AND(D393&lt;&gt;"",E393&lt;&gt;""),ROUND((E393-D393)*1440,0),"")</f>
        <v/>
      </c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6">
        <f>IF(C393="착유장",기준값!$B$3,IF(C393="건유·육성우동",기준값!$B$2,""))</f>
        <v/>
      </c>
      <c r="V393" s="6">
        <f>IF(AND(F393&lt;&gt;"",F393&gt;0,U393&lt;&gt;""),ROUND((U393-N(K393))/(F393/60),0),"")</f>
        <v/>
      </c>
      <c r="W393" s="6">
        <f>IF(U393&lt;&gt;"",ROUND(N(K393)/U393*100,1),"")</f>
        <v/>
      </c>
    </row>
    <row r="394">
      <c r="A394" s="3" t="n"/>
      <c r="B394" s="4" t="n"/>
      <c r="C394" s="4" t="n"/>
      <c r="D394" s="5" t="n"/>
      <c r="E394" s="5" t="n"/>
      <c r="F394" s="6">
        <f>IF(AND(D394&lt;&gt;"",E394&lt;&gt;""),ROUND((E394-D394)*1440,0),"")</f>
        <v/>
      </c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6">
        <f>IF(C394="착유장",기준값!$B$3,IF(C394="건유·육성우동",기준값!$B$2,""))</f>
        <v/>
      </c>
      <c r="V394" s="6">
        <f>IF(AND(F394&lt;&gt;"",F394&gt;0,U394&lt;&gt;""),ROUND((U394-N(K394))/(F394/60),0),"")</f>
        <v/>
      </c>
      <c r="W394" s="6">
        <f>IF(U394&lt;&gt;"",ROUND(N(K394)/U394*100,1),"")</f>
        <v/>
      </c>
    </row>
    <row r="395">
      <c r="A395" s="3" t="n"/>
      <c r="B395" s="4" t="n"/>
      <c r="C395" s="4" t="n"/>
      <c r="D395" s="5" t="n"/>
      <c r="E395" s="5" t="n"/>
      <c r="F395" s="6">
        <f>IF(AND(D395&lt;&gt;"",E395&lt;&gt;""),ROUND((E395-D395)*1440,0),"")</f>
        <v/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6">
        <f>IF(C395="착유장",기준값!$B$3,IF(C395="건유·육성우동",기준값!$B$2,""))</f>
        <v/>
      </c>
      <c r="V395" s="6">
        <f>IF(AND(F395&lt;&gt;"",F395&gt;0,U395&lt;&gt;""),ROUND((U395-N(K395))/(F395/60),0),"")</f>
        <v/>
      </c>
      <c r="W395" s="6">
        <f>IF(U395&lt;&gt;"",ROUND(N(K395)/U395*100,1),"")</f>
        <v/>
      </c>
    </row>
    <row r="396">
      <c r="A396" s="3" t="n"/>
      <c r="B396" s="4" t="n"/>
      <c r="C396" s="4" t="n"/>
      <c r="D396" s="5" t="n"/>
      <c r="E396" s="5" t="n"/>
      <c r="F396" s="6">
        <f>IF(AND(D396&lt;&gt;"",E396&lt;&gt;""),ROUND((E396-D396)*1440,0),"")</f>
        <v/>
      </c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6">
        <f>IF(C396="착유장",기준값!$B$3,IF(C396="건유·육성우동",기준값!$B$2,""))</f>
        <v/>
      </c>
      <c r="V396" s="6">
        <f>IF(AND(F396&lt;&gt;"",F396&gt;0,U396&lt;&gt;""),ROUND((U396-N(K396))/(F396/60),0),"")</f>
        <v/>
      </c>
      <c r="W396" s="6">
        <f>IF(U396&lt;&gt;"",ROUND(N(K396)/U396*100,1),"")</f>
        <v/>
      </c>
    </row>
    <row r="397">
      <c r="A397" s="3" t="n"/>
      <c r="B397" s="4" t="n"/>
      <c r="C397" s="4" t="n"/>
      <c r="D397" s="5" t="n"/>
      <c r="E397" s="5" t="n"/>
      <c r="F397" s="6">
        <f>IF(AND(D397&lt;&gt;"",E397&lt;&gt;""),ROUND((E397-D397)*1440,0),"")</f>
        <v/>
      </c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6">
        <f>IF(C397="착유장",기준값!$B$3,IF(C397="건유·육성우동",기준값!$B$2,""))</f>
        <v/>
      </c>
      <c r="V397" s="6">
        <f>IF(AND(F397&lt;&gt;"",F397&gt;0,U397&lt;&gt;""),ROUND((U397-N(K397))/(F397/60),0),"")</f>
        <v/>
      </c>
      <c r="W397" s="6">
        <f>IF(U397&lt;&gt;"",ROUND(N(K397)/U397*100,1),"")</f>
        <v/>
      </c>
    </row>
    <row r="398">
      <c r="A398" s="3" t="n"/>
      <c r="B398" s="4" t="n"/>
      <c r="C398" s="4" t="n"/>
      <c r="D398" s="5" t="n"/>
      <c r="E398" s="5" t="n"/>
      <c r="F398" s="6">
        <f>IF(AND(D398&lt;&gt;"",E398&lt;&gt;""),ROUND((E398-D398)*1440,0),"")</f>
        <v/>
      </c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6">
        <f>IF(C398="착유장",기준값!$B$3,IF(C398="건유·육성우동",기준값!$B$2,""))</f>
        <v/>
      </c>
      <c r="V398" s="6">
        <f>IF(AND(F398&lt;&gt;"",F398&gt;0,U398&lt;&gt;""),ROUND((U398-N(K398))/(F398/60),0),"")</f>
        <v/>
      </c>
      <c r="W398" s="6">
        <f>IF(U398&lt;&gt;"",ROUND(N(K398)/U398*100,1),"")</f>
        <v/>
      </c>
    </row>
    <row r="399">
      <c r="A399" s="3" t="n"/>
      <c r="B399" s="4" t="n"/>
      <c r="C399" s="4" t="n"/>
      <c r="D399" s="5" t="n"/>
      <c r="E399" s="5" t="n"/>
      <c r="F399" s="6">
        <f>IF(AND(D399&lt;&gt;"",E399&lt;&gt;""),ROUND((E399-D399)*1440,0),"")</f>
        <v/>
      </c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6">
        <f>IF(C399="착유장",기준값!$B$3,IF(C399="건유·육성우동",기준값!$B$2,""))</f>
        <v/>
      </c>
      <c r="V399" s="6">
        <f>IF(AND(F399&lt;&gt;"",F399&gt;0,U399&lt;&gt;""),ROUND((U399-N(K399))/(F399/60),0),"")</f>
        <v/>
      </c>
      <c r="W399" s="6">
        <f>IF(U399&lt;&gt;"",ROUND(N(K399)/U399*100,1),"")</f>
        <v/>
      </c>
    </row>
    <row r="400">
      <c r="A400" s="3" t="n"/>
      <c r="B400" s="4" t="n"/>
      <c r="C400" s="4" t="n"/>
      <c r="D400" s="5" t="n"/>
      <c r="E400" s="5" t="n"/>
      <c r="F400" s="6">
        <f>IF(AND(D400&lt;&gt;"",E400&lt;&gt;""),ROUND((E400-D400)*1440,0),"")</f>
        <v/>
      </c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6">
        <f>IF(C400="착유장",기준값!$B$3,IF(C400="건유·육성우동",기준값!$B$2,""))</f>
        <v/>
      </c>
      <c r="V400" s="6">
        <f>IF(AND(F400&lt;&gt;"",F400&gt;0,U400&lt;&gt;""),ROUND((U400-N(K400))/(F400/60),0),"")</f>
        <v/>
      </c>
      <c r="W400" s="6">
        <f>IF(U400&lt;&gt;"",ROUND(N(K400)/U400*100,1),"")</f>
        <v/>
      </c>
    </row>
    <row r="401">
      <c r="A401" s="3" t="n"/>
      <c r="B401" s="4" t="n"/>
      <c r="C401" s="4" t="n"/>
      <c r="D401" s="5" t="n"/>
      <c r="E401" s="5" t="n"/>
      <c r="F401" s="6">
        <f>IF(AND(D401&lt;&gt;"",E401&lt;&gt;""),ROUND((E401-D401)*1440,0),"")</f>
        <v/>
      </c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6">
        <f>IF(C401="착유장",기준값!$B$3,IF(C401="건유·육성우동",기준값!$B$2,""))</f>
        <v/>
      </c>
      <c r="V401" s="6">
        <f>IF(AND(F401&lt;&gt;"",F401&gt;0,U401&lt;&gt;""),ROUND((U401-N(K401))/(F401/60),0),"")</f>
        <v/>
      </c>
      <c r="W401" s="6">
        <f>IF(U401&lt;&gt;"",ROUND(N(K401)/U401*100,1),"")</f>
        <v/>
      </c>
    </row>
    <row r="402">
      <c r="A402" s="3" t="n"/>
      <c r="B402" s="4" t="n"/>
      <c r="C402" s="4" t="n"/>
      <c r="D402" s="5" t="n"/>
      <c r="E402" s="5" t="n"/>
      <c r="F402" s="6">
        <f>IF(AND(D402&lt;&gt;"",E402&lt;&gt;""),ROUND((E402-D402)*1440,0),"")</f>
        <v/>
      </c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6">
        <f>IF(C402="착유장",기준값!$B$3,IF(C402="건유·육성우동",기준값!$B$2,""))</f>
        <v/>
      </c>
      <c r="V402" s="6">
        <f>IF(AND(F402&lt;&gt;"",F402&gt;0,U402&lt;&gt;""),ROUND((U402-N(K402))/(F402/60),0),"")</f>
        <v/>
      </c>
      <c r="W402" s="6">
        <f>IF(U402&lt;&gt;"",ROUND(N(K402)/U402*100,1),"")</f>
        <v/>
      </c>
    </row>
    <row r="403">
      <c r="A403" s="3" t="n"/>
      <c r="B403" s="4" t="n"/>
      <c r="C403" s="4" t="n"/>
      <c r="D403" s="5" t="n"/>
      <c r="E403" s="5" t="n"/>
      <c r="F403" s="6">
        <f>IF(AND(D403&lt;&gt;"",E403&lt;&gt;""),ROUND((E403-D403)*1440,0),"")</f>
        <v/>
      </c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6">
        <f>IF(C403="착유장",기준값!$B$3,IF(C403="건유·육성우동",기준값!$B$2,""))</f>
        <v/>
      </c>
      <c r="V403" s="6">
        <f>IF(AND(F403&lt;&gt;"",F403&gt;0,U403&lt;&gt;""),ROUND((U403-N(K403))/(F403/60),0),"")</f>
        <v/>
      </c>
      <c r="W403" s="6">
        <f>IF(U403&lt;&gt;"",ROUND(N(K403)/U403*100,1),"")</f>
        <v/>
      </c>
    </row>
    <row r="404">
      <c r="A404" s="3" t="n"/>
      <c r="B404" s="4" t="n"/>
      <c r="C404" s="4" t="n"/>
      <c r="D404" s="5" t="n"/>
      <c r="E404" s="5" t="n"/>
      <c r="F404" s="6">
        <f>IF(AND(D404&lt;&gt;"",E404&lt;&gt;""),ROUND((E404-D404)*1440,0),"")</f>
        <v/>
      </c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6">
        <f>IF(C404="착유장",기준값!$B$3,IF(C404="건유·육성우동",기준값!$B$2,""))</f>
        <v/>
      </c>
      <c r="V404" s="6">
        <f>IF(AND(F404&lt;&gt;"",F404&gt;0,U404&lt;&gt;""),ROUND((U404-N(K404))/(F404/60),0),"")</f>
        <v/>
      </c>
      <c r="W404" s="6">
        <f>IF(U404&lt;&gt;"",ROUND(N(K404)/U404*100,1),"")</f>
        <v/>
      </c>
    </row>
    <row r="405">
      <c r="A405" s="3" t="n"/>
      <c r="B405" s="4" t="n"/>
      <c r="C405" s="4" t="n"/>
      <c r="D405" s="5" t="n"/>
      <c r="E405" s="5" t="n"/>
      <c r="F405" s="6">
        <f>IF(AND(D405&lt;&gt;"",E405&lt;&gt;""),ROUND((E405-D405)*1440,0),"")</f>
        <v/>
      </c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6">
        <f>IF(C405="착유장",기준값!$B$3,IF(C405="건유·육성우동",기준값!$B$2,""))</f>
        <v/>
      </c>
      <c r="V405" s="6">
        <f>IF(AND(F405&lt;&gt;"",F405&gt;0,U405&lt;&gt;""),ROUND((U405-N(K405))/(F405/60),0),"")</f>
        <v/>
      </c>
      <c r="W405" s="6">
        <f>IF(U405&lt;&gt;"",ROUND(N(K405)/U405*100,1),"")</f>
        <v/>
      </c>
    </row>
    <row r="406">
      <c r="A406" s="3" t="n"/>
      <c r="B406" s="4" t="n"/>
      <c r="C406" s="4" t="n"/>
      <c r="D406" s="5" t="n"/>
      <c r="E406" s="5" t="n"/>
      <c r="F406" s="6">
        <f>IF(AND(D406&lt;&gt;"",E406&lt;&gt;""),ROUND((E406-D406)*1440,0),"")</f>
        <v/>
      </c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6">
        <f>IF(C406="착유장",기준값!$B$3,IF(C406="건유·육성우동",기준값!$B$2,""))</f>
        <v/>
      </c>
      <c r="V406" s="6">
        <f>IF(AND(F406&lt;&gt;"",F406&gt;0,U406&lt;&gt;""),ROUND((U406-N(K406))/(F406/60),0),"")</f>
        <v/>
      </c>
      <c r="W406" s="6">
        <f>IF(U406&lt;&gt;"",ROUND(N(K406)/U406*100,1),"")</f>
        <v/>
      </c>
    </row>
    <row r="407">
      <c r="A407" s="3" t="n"/>
      <c r="B407" s="4" t="n"/>
      <c r="C407" s="4" t="n"/>
      <c r="D407" s="5" t="n"/>
      <c r="E407" s="5" t="n"/>
      <c r="F407" s="6">
        <f>IF(AND(D407&lt;&gt;"",E407&lt;&gt;""),ROUND((E407-D407)*1440,0),"")</f>
        <v/>
      </c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6">
        <f>IF(C407="착유장",기준값!$B$3,IF(C407="건유·육성우동",기준값!$B$2,""))</f>
        <v/>
      </c>
      <c r="V407" s="6">
        <f>IF(AND(F407&lt;&gt;"",F407&gt;0,U407&lt;&gt;""),ROUND((U407-N(K407))/(F407/60),0),"")</f>
        <v/>
      </c>
      <c r="W407" s="6">
        <f>IF(U407&lt;&gt;"",ROUND(N(K407)/U407*100,1),"")</f>
        <v/>
      </c>
    </row>
    <row r="408">
      <c r="A408" s="3" t="n"/>
      <c r="B408" s="4" t="n"/>
      <c r="C408" s="4" t="n"/>
      <c r="D408" s="5" t="n"/>
      <c r="E408" s="5" t="n"/>
      <c r="F408" s="6">
        <f>IF(AND(D408&lt;&gt;"",E408&lt;&gt;""),ROUND((E408-D408)*1440,0),"")</f>
        <v/>
      </c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6">
        <f>IF(C408="착유장",기준값!$B$3,IF(C408="건유·육성우동",기준값!$B$2,""))</f>
        <v/>
      </c>
      <c r="V408" s="6">
        <f>IF(AND(F408&lt;&gt;"",F408&gt;0,U408&lt;&gt;""),ROUND((U408-N(K408))/(F408/60),0),"")</f>
        <v/>
      </c>
      <c r="W408" s="6">
        <f>IF(U408&lt;&gt;"",ROUND(N(K408)/U408*100,1),"")</f>
        <v/>
      </c>
    </row>
    <row r="409">
      <c r="A409" s="3" t="n"/>
      <c r="B409" s="4" t="n"/>
      <c r="C409" s="4" t="n"/>
      <c r="D409" s="5" t="n"/>
      <c r="E409" s="5" t="n"/>
      <c r="F409" s="6">
        <f>IF(AND(D409&lt;&gt;"",E409&lt;&gt;""),ROUND((E409-D409)*1440,0),"")</f>
        <v/>
      </c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6">
        <f>IF(C409="착유장",기준값!$B$3,IF(C409="건유·육성우동",기준값!$B$2,""))</f>
        <v/>
      </c>
      <c r="V409" s="6">
        <f>IF(AND(F409&lt;&gt;"",F409&gt;0,U409&lt;&gt;""),ROUND((U409-N(K409))/(F409/60),0),"")</f>
        <v/>
      </c>
      <c r="W409" s="6">
        <f>IF(U409&lt;&gt;"",ROUND(N(K409)/U409*100,1),"")</f>
        <v/>
      </c>
    </row>
    <row r="410">
      <c r="A410" s="3" t="n"/>
      <c r="B410" s="4" t="n"/>
      <c r="C410" s="4" t="n"/>
      <c r="D410" s="5" t="n"/>
      <c r="E410" s="5" t="n"/>
      <c r="F410" s="6">
        <f>IF(AND(D410&lt;&gt;"",E410&lt;&gt;""),ROUND((E410-D410)*1440,0),"")</f>
        <v/>
      </c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6">
        <f>IF(C410="착유장",기준값!$B$3,IF(C410="건유·육성우동",기준값!$B$2,""))</f>
        <v/>
      </c>
      <c r="V410" s="6">
        <f>IF(AND(F410&lt;&gt;"",F410&gt;0,U410&lt;&gt;""),ROUND((U410-N(K410))/(F410/60),0),"")</f>
        <v/>
      </c>
      <c r="W410" s="6">
        <f>IF(U410&lt;&gt;"",ROUND(N(K410)/U410*100,1),"")</f>
        <v/>
      </c>
    </row>
    <row r="411">
      <c r="A411" s="3" t="n"/>
      <c r="B411" s="4" t="n"/>
      <c r="C411" s="4" t="n"/>
      <c r="D411" s="5" t="n"/>
      <c r="E411" s="5" t="n"/>
      <c r="F411" s="6">
        <f>IF(AND(D411&lt;&gt;"",E411&lt;&gt;""),ROUND((E411-D411)*1440,0),"")</f>
        <v/>
      </c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6">
        <f>IF(C411="착유장",기준값!$B$3,IF(C411="건유·육성우동",기준값!$B$2,""))</f>
        <v/>
      </c>
      <c r="V411" s="6">
        <f>IF(AND(F411&lt;&gt;"",F411&gt;0,U411&lt;&gt;""),ROUND((U411-N(K411))/(F411/60),0),"")</f>
        <v/>
      </c>
      <c r="W411" s="6">
        <f>IF(U411&lt;&gt;"",ROUND(N(K411)/U411*100,1),"")</f>
        <v/>
      </c>
    </row>
    <row r="412">
      <c r="A412" s="3" t="n"/>
      <c r="B412" s="4" t="n"/>
      <c r="C412" s="4" t="n"/>
      <c r="D412" s="5" t="n"/>
      <c r="E412" s="5" t="n"/>
      <c r="F412" s="6">
        <f>IF(AND(D412&lt;&gt;"",E412&lt;&gt;""),ROUND((E412-D412)*1440,0),"")</f>
        <v/>
      </c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6">
        <f>IF(C412="착유장",기준값!$B$3,IF(C412="건유·육성우동",기준값!$B$2,""))</f>
        <v/>
      </c>
      <c r="V412" s="6">
        <f>IF(AND(F412&lt;&gt;"",F412&gt;0,U412&lt;&gt;""),ROUND((U412-N(K412))/(F412/60),0),"")</f>
        <v/>
      </c>
      <c r="W412" s="6">
        <f>IF(U412&lt;&gt;"",ROUND(N(K412)/U412*100,1),"")</f>
        <v/>
      </c>
    </row>
    <row r="413">
      <c r="A413" s="3" t="n"/>
      <c r="B413" s="4" t="n"/>
      <c r="C413" s="4" t="n"/>
      <c r="D413" s="5" t="n"/>
      <c r="E413" s="5" t="n"/>
      <c r="F413" s="6">
        <f>IF(AND(D413&lt;&gt;"",E413&lt;&gt;""),ROUND((E413-D413)*1440,0),"")</f>
        <v/>
      </c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6">
        <f>IF(C413="착유장",기준값!$B$3,IF(C413="건유·육성우동",기준값!$B$2,""))</f>
        <v/>
      </c>
      <c r="V413" s="6">
        <f>IF(AND(F413&lt;&gt;"",F413&gt;0,U413&lt;&gt;""),ROUND((U413-N(K413))/(F413/60),0),"")</f>
        <v/>
      </c>
      <c r="W413" s="6">
        <f>IF(U413&lt;&gt;"",ROUND(N(K413)/U413*100,1),"")</f>
        <v/>
      </c>
    </row>
    <row r="414">
      <c r="A414" s="3" t="n"/>
      <c r="B414" s="4" t="n"/>
      <c r="C414" s="4" t="n"/>
      <c r="D414" s="5" t="n"/>
      <c r="E414" s="5" t="n"/>
      <c r="F414" s="6">
        <f>IF(AND(D414&lt;&gt;"",E414&lt;&gt;""),ROUND((E414-D414)*1440,0),"")</f>
        <v/>
      </c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6">
        <f>IF(C414="착유장",기준값!$B$3,IF(C414="건유·육성우동",기준값!$B$2,""))</f>
        <v/>
      </c>
      <c r="V414" s="6">
        <f>IF(AND(F414&lt;&gt;"",F414&gt;0,U414&lt;&gt;""),ROUND((U414-N(K414))/(F414/60),0),"")</f>
        <v/>
      </c>
      <c r="W414" s="6">
        <f>IF(U414&lt;&gt;"",ROUND(N(K414)/U414*100,1),"")</f>
        <v/>
      </c>
    </row>
    <row r="415">
      <c r="A415" s="3" t="n"/>
      <c r="B415" s="4" t="n"/>
      <c r="C415" s="4" t="n"/>
      <c r="D415" s="5" t="n"/>
      <c r="E415" s="5" t="n"/>
      <c r="F415" s="6">
        <f>IF(AND(D415&lt;&gt;"",E415&lt;&gt;""),ROUND((E415-D415)*1440,0),"")</f>
        <v/>
      </c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6">
        <f>IF(C415="착유장",기준값!$B$3,IF(C415="건유·육성우동",기준값!$B$2,""))</f>
        <v/>
      </c>
      <c r="V415" s="6">
        <f>IF(AND(F415&lt;&gt;"",F415&gt;0,U415&lt;&gt;""),ROUND((U415-N(K415))/(F415/60),0),"")</f>
        <v/>
      </c>
      <c r="W415" s="6">
        <f>IF(U415&lt;&gt;"",ROUND(N(K415)/U415*100,1),"")</f>
        <v/>
      </c>
    </row>
    <row r="416">
      <c r="A416" s="3" t="n"/>
      <c r="B416" s="4" t="n"/>
      <c r="C416" s="4" t="n"/>
      <c r="D416" s="5" t="n"/>
      <c r="E416" s="5" t="n"/>
      <c r="F416" s="6">
        <f>IF(AND(D416&lt;&gt;"",E416&lt;&gt;""),ROUND((E416-D416)*1440,0),"")</f>
        <v/>
      </c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6">
        <f>IF(C416="착유장",기준값!$B$3,IF(C416="건유·육성우동",기준값!$B$2,""))</f>
        <v/>
      </c>
      <c r="V416" s="6">
        <f>IF(AND(F416&lt;&gt;"",F416&gt;0,U416&lt;&gt;""),ROUND((U416-N(K416))/(F416/60),0),"")</f>
        <v/>
      </c>
      <c r="W416" s="6">
        <f>IF(U416&lt;&gt;"",ROUND(N(K416)/U416*100,1),"")</f>
        <v/>
      </c>
    </row>
    <row r="417">
      <c r="A417" s="3" t="n"/>
      <c r="B417" s="4" t="n"/>
      <c r="C417" s="4" t="n"/>
      <c r="D417" s="5" t="n"/>
      <c r="E417" s="5" t="n"/>
      <c r="F417" s="6">
        <f>IF(AND(D417&lt;&gt;"",E417&lt;&gt;""),ROUND((E417-D417)*1440,0),"")</f>
        <v/>
      </c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6">
        <f>IF(C417="착유장",기준값!$B$3,IF(C417="건유·육성우동",기준값!$B$2,""))</f>
        <v/>
      </c>
      <c r="V417" s="6">
        <f>IF(AND(F417&lt;&gt;"",F417&gt;0,U417&lt;&gt;""),ROUND((U417-N(K417))/(F417/60),0),"")</f>
        <v/>
      </c>
      <c r="W417" s="6">
        <f>IF(U417&lt;&gt;"",ROUND(N(K417)/U417*100,1),"")</f>
        <v/>
      </c>
    </row>
    <row r="418">
      <c r="A418" s="3" t="n"/>
      <c r="B418" s="4" t="n"/>
      <c r="C418" s="4" t="n"/>
      <c r="D418" s="5" t="n"/>
      <c r="E418" s="5" t="n"/>
      <c r="F418" s="6">
        <f>IF(AND(D418&lt;&gt;"",E418&lt;&gt;""),ROUND((E418-D418)*1440,0),"")</f>
        <v/>
      </c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6">
        <f>IF(C418="착유장",기준값!$B$3,IF(C418="건유·육성우동",기준값!$B$2,""))</f>
        <v/>
      </c>
      <c r="V418" s="6">
        <f>IF(AND(F418&lt;&gt;"",F418&gt;0,U418&lt;&gt;""),ROUND((U418-N(K418))/(F418/60),0),"")</f>
        <v/>
      </c>
      <c r="W418" s="6">
        <f>IF(U418&lt;&gt;"",ROUND(N(K418)/U418*100,1),"")</f>
        <v/>
      </c>
    </row>
    <row r="419">
      <c r="A419" s="3" t="n"/>
      <c r="B419" s="4" t="n"/>
      <c r="C419" s="4" t="n"/>
      <c r="D419" s="5" t="n"/>
      <c r="E419" s="5" t="n"/>
      <c r="F419" s="6">
        <f>IF(AND(D419&lt;&gt;"",E419&lt;&gt;""),ROUND((E419-D419)*1440,0),"")</f>
        <v/>
      </c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6">
        <f>IF(C419="착유장",기준값!$B$3,IF(C419="건유·육성우동",기준값!$B$2,""))</f>
        <v/>
      </c>
      <c r="V419" s="6">
        <f>IF(AND(F419&lt;&gt;"",F419&gt;0,U419&lt;&gt;""),ROUND((U419-N(K419))/(F419/60),0),"")</f>
        <v/>
      </c>
      <c r="W419" s="6">
        <f>IF(U419&lt;&gt;"",ROUND(N(K419)/U419*100,1),"")</f>
        <v/>
      </c>
    </row>
    <row r="420">
      <c r="A420" s="3" t="n"/>
      <c r="B420" s="4" t="n"/>
      <c r="C420" s="4" t="n"/>
      <c r="D420" s="5" t="n"/>
      <c r="E420" s="5" t="n"/>
      <c r="F420" s="6">
        <f>IF(AND(D420&lt;&gt;"",E420&lt;&gt;""),ROUND((E420-D420)*1440,0),"")</f>
        <v/>
      </c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6">
        <f>IF(C420="착유장",기준값!$B$3,IF(C420="건유·육성우동",기준값!$B$2,""))</f>
        <v/>
      </c>
      <c r="V420" s="6">
        <f>IF(AND(F420&lt;&gt;"",F420&gt;0,U420&lt;&gt;""),ROUND((U420-N(K420))/(F420/60),0),"")</f>
        <v/>
      </c>
      <c r="W420" s="6">
        <f>IF(U420&lt;&gt;"",ROUND(N(K420)/U420*100,1),"")</f>
        <v/>
      </c>
    </row>
    <row r="421">
      <c r="A421" s="3" t="n"/>
      <c r="B421" s="4" t="n"/>
      <c r="C421" s="4" t="n"/>
      <c r="D421" s="5" t="n"/>
      <c r="E421" s="5" t="n"/>
      <c r="F421" s="6">
        <f>IF(AND(D421&lt;&gt;"",E421&lt;&gt;""),ROUND((E421-D421)*1440,0),"")</f>
        <v/>
      </c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6">
        <f>IF(C421="착유장",기준값!$B$3,IF(C421="건유·육성우동",기준값!$B$2,""))</f>
        <v/>
      </c>
      <c r="V421" s="6">
        <f>IF(AND(F421&lt;&gt;"",F421&gt;0,U421&lt;&gt;""),ROUND((U421-N(K421))/(F421/60),0),"")</f>
        <v/>
      </c>
      <c r="W421" s="6">
        <f>IF(U421&lt;&gt;"",ROUND(N(K421)/U421*100,1),"")</f>
        <v/>
      </c>
    </row>
    <row r="422">
      <c r="A422" s="3" t="n"/>
      <c r="B422" s="4" t="n"/>
      <c r="C422" s="4" t="n"/>
      <c r="D422" s="5" t="n"/>
      <c r="E422" s="5" t="n"/>
      <c r="F422" s="6">
        <f>IF(AND(D422&lt;&gt;"",E422&lt;&gt;""),ROUND((E422-D422)*1440,0),"")</f>
        <v/>
      </c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6">
        <f>IF(C422="착유장",기준값!$B$3,IF(C422="건유·육성우동",기준값!$B$2,""))</f>
        <v/>
      </c>
      <c r="V422" s="6">
        <f>IF(AND(F422&lt;&gt;"",F422&gt;0,U422&lt;&gt;""),ROUND((U422-N(K422))/(F422/60),0),"")</f>
        <v/>
      </c>
      <c r="W422" s="6">
        <f>IF(U422&lt;&gt;"",ROUND(N(K422)/U422*100,1),"")</f>
        <v/>
      </c>
    </row>
    <row r="423">
      <c r="A423" s="3" t="n"/>
      <c r="B423" s="4" t="n"/>
      <c r="C423" s="4" t="n"/>
      <c r="D423" s="5" t="n"/>
      <c r="E423" s="5" t="n"/>
      <c r="F423" s="6">
        <f>IF(AND(D423&lt;&gt;"",E423&lt;&gt;""),ROUND((E423-D423)*1440,0),"")</f>
        <v/>
      </c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6">
        <f>IF(C423="착유장",기준값!$B$3,IF(C423="건유·육성우동",기준값!$B$2,""))</f>
        <v/>
      </c>
      <c r="V423" s="6">
        <f>IF(AND(F423&lt;&gt;"",F423&gt;0,U423&lt;&gt;""),ROUND((U423-N(K423))/(F423/60),0),"")</f>
        <v/>
      </c>
      <c r="W423" s="6">
        <f>IF(U423&lt;&gt;"",ROUND(N(K423)/U423*100,1),"")</f>
        <v/>
      </c>
    </row>
    <row r="424">
      <c r="A424" s="3" t="n"/>
      <c r="B424" s="4" t="n"/>
      <c r="C424" s="4" t="n"/>
      <c r="D424" s="5" t="n"/>
      <c r="E424" s="5" t="n"/>
      <c r="F424" s="6">
        <f>IF(AND(D424&lt;&gt;"",E424&lt;&gt;""),ROUND((E424-D424)*1440,0),"")</f>
        <v/>
      </c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6">
        <f>IF(C424="착유장",기준값!$B$3,IF(C424="건유·육성우동",기준값!$B$2,""))</f>
        <v/>
      </c>
      <c r="V424" s="6">
        <f>IF(AND(F424&lt;&gt;"",F424&gt;0,U424&lt;&gt;""),ROUND((U424-N(K424))/(F424/60),0),"")</f>
        <v/>
      </c>
      <c r="W424" s="6">
        <f>IF(U424&lt;&gt;"",ROUND(N(K424)/U424*100,1),"")</f>
        <v/>
      </c>
    </row>
    <row r="425">
      <c r="A425" s="3" t="n"/>
      <c r="B425" s="4" t="n"/>
      <c r="C425" s="4" t="n"/>
      <c r="D425" s="5" t="n"/>
      <c r="E425" s="5" t="n"/>
      <c r="F425" s="6">
        <f>IF(AND(D425&lt;&gt;"",E425&lt;&gt;""),ROUND((E425-D425)*1440,0),"")</f>
        <v/>
      </c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6">
        <f>IF(C425="착유장",기준값!$B$3,IF(C425="건유·육성우동",기준값!$B$2,""))</f>
        <v/>
      </c>
      <c r="V425" s="6">
        <f>IF(AND(F425&lt;&gt;"",F425&gt;0,U425&lt;&gt;""),ROUND((U425-N(K425))/(F425/60),0),"")</f>
        <v/>
      </c>
      <c r="W425" s="6">
        <f>IF(U425&lt;&gt;"",ROUND(N(K425)/U425*100,1),"")</f>
        <v/>
      </c>
    </row>
    <row r="426">
      <c r="A426" s="3" t="n"/>
      <c r="B426" s="4" t="n"/>
      <c r="C426" s="4" t="n"/>
      <c r="D426" s="5" t="n"/>
      <c r="E426" s="5" t="n"/>
      <c r="F426" s="6">
        <f>IF(AND(D426&lt;&gt;"",E426&lt;&gt;""),ROUND((E426-D426)*1440,0),"")</f>
        <v/>
      </c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6">
        <f>IF(C426="착유장",기준값!$B$3,IF(C426="건유·육성우동",기준값!$B$2,""))</f>
        <v/>
      </c>
      <c r="V426" s="6">
        <f>IF(AND(F426&lt;&gt;"",F426&gt;0,U426&lt;&gt;""),ROUND((U426-N(K426))/(F426/60),0),"")</f>
        <v/>
      </c>
      <c r="W426" s="6">
        <f>IF(U426&lt;&gt;"",ROUND(N(K426)/U426*100,1),"")</f>
        <v/>
      </c>
    </row>
    <row r="427">
      <c r="A427" s="3" t="n"/>
      <c r="B427" s="4" t="n"/>
      <c r="C427" s="4" t="n"/>
      <c r="D427" s="5" t="n"/>
      <c r="E427" s="5" t="n"/>
      <c r="F427" s="6">
        <f>IF(AND(D427&lt;&gt;"",E427&lt;&gt;""),ROUND((E427-D427)*1440,0),"")</f>
        <v/>
      </c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6">
        <f>IF(C427="착유장",기준값!$B$3,IF(C427="건유·육성우동",기준값!$B$2,""))</f>
        <v/>
      </c>
      <c r="V427" s="6">
        <f>IF(AND(F427&lt;&gt;"",F427&gt;0,U427&lt;&gt;""),ROUND((U427-N(K427))/(F427/60),0),"")</f>
        <v/>
      </c>
      <c r="W427" s="6">
        <f>IF(U427&lt;&gt;"",ROUND(N(K427)/U427*100,1),"")</f>
        <v/>
      </c>
    </row>
    <row r="428">
      <c r="A428" s="3" t="n"/>
      <c r="B428" s="4" t="n"/>
      <c r="C428" s="4" t="n"/>
      <c r="D428" s="5" t="n"/>
      <c r="E428" s="5" t="n"/>
      <c r="F428" s="6">
        <f>IF(AND(D428&lt;&gt;"",E428&lt;&gt;""),ROUND((E428-D428)*1440,0),"")</f>
        <v/>
      </c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6">
        <f>IF(C428="착유장",기준값!$B$3,IF(C428="건유·육성우동",기준값!$B$2,""))</f>
        <v/>
      </c>
      <c r="V428" s="6">
        <f>IF(AND(F428&lt;&gt;"",F428&gt;0,U428&lt;&gt;""),ROUND((U428-N(K428))/(F428/60),0),"")</f>
        <v/>
      </c>
      <c r="W428" s="6">
        <f>IF(U428&lt;&gt;"",ROUND(N(K428)/U428*100,1),"")</f>
        <v/>
      </c>
    </row>
    <row r="429">
      <c r="A429" s="3" t="n"/>
      <c r="B429" s="4" t="n"/>
      <c r="C429" s="4" t="n"/>
      <c r="D429" s="5" t="n"/>
      <c r="E429" s="5" t="n"/>
      <c r="F429" s="6">
        <f>IF(AND(D429&lt;&gt;"",E429&lt;&gt;""),ROUND((E429-D429)*1440,0),"")</f>
        <v/>
      </c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6">
        <f>IF(C429="착유장",기준값!$B$3,IF(C429="건유·육성우동",기준값!$B$2,""))</f>
        <v/>
      </c>
      <c r="V429" s="6">
        <f>IF(AND(F429&lt;&gt;"",F429&gt;0,U429&lt;&gt;""),ROUND((U429-N(K429))/(F429/60),0),"")</f>
        <v/>
      </c>
      <c r="W429" s="6">
        <f>IF(U429&lt;&gt;"",ROUND(N(K429)/U429*100,1),"")</f>
        <v/>
      </c>
    </row>
    <row r="430">
      <c r="A430" s="3" t="n"/>
      <c r="B430" s="4" t="n"/>
      <c r="C430" s="4" t="n"/>
      <c r="D430" s="5" t="n"/>
      <c r="E430" s="5" t="n"/>
      <c r="F430" s="6">
        <f>IF(AND(D430&lt;&gt;"",E430&lt;&gt;""),ROUND((E430-D430)*1440,0),"")</f>
        <v/>
      </c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6">
        <f>IF(C430="착유장",기준값!$B$3,IF(C430="건유·육성우동",기준값!$B$2,""))</f>
        <v/>
      </c>
      <c r="V430" s="6">
        <f>IF(AND(F430&lt;&gt;"",F430&gt;0,U430&lt;&gt;""),ROUND((U430-N(K430))/(F430/60),0),"")</f>
        <v/>
      </c>
      <c r="W430" s="6">
        <f>IF(U430&lt;&gt;"",ROUND(N(K430)/U430*100,1),"")</f>
        <v/>
      </c>
    </row>
    <row r="431">
      <c r="A431" s="3" t="n"/>
      <c r="B431" s="4" t="n"/>
      <c r="C431" s="4" t="n"/>
      <c r="D431" s="5" t="n"/>
      <c r="E431" s="5" t="n"/>
      <c r="F431" s="6">
        <f>IF(AND(D431&lt;&gt;"",E431&lt;&gt;""),ROUND((E431-D431)*1440,0),"")</f>
        <v/>
      </c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6">
        <f>IF(C431="착유장",기준값!$B$3,IF(C431="건유·육성우동",기준값!$B$2,""))</f>
        <v/>
      </c>
      <c r="V431" s="6">
        <f>IF(AND(F431&lt;&gt;"",F431&gt;0,U431&lt;&gt;""),ROUND((U431-N(K431))/(F431/60),0),"")</f>
        <v/>
      </c>
      <c r="W431" s="6">
        <f>IF(U431&lt;&gt;"",ROUND(N(K431)/U431*100,1),"")</f>
        <v/>
      </c>
    </row>
    <row r="432">
      <c r="A432" s="3" t="n"/>
      <c r="B432" s="4" t="n"/>
      <c r="C432" s="4" t="n"/>
      <c r="D432" s="5" t="n"/>
      <c r="E432" s="5" t="n"/>
      <c r="F432" s="6">
        <f>IF(AND(D432&lt;&gt;"",E432&lt;&gt;""),ROUND((E432-D432)*1440,0),"")</f>
        <v/>
      </c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6">
        <f>IF(C432="착유장",기준값!$B$3,IF(C432="건유·육성우동",기준값!$B$2,""))</f>
        <v/>
      </c>
      <c r="V432" s="6">
        <f>IF(AND(F432&lt;&gt;"",F432&gt;0,U432&lt;&gt;""),ROUND((U432-N(K432))/(F432/60),0),"")</f>
        <v/>
      </c>
      <c r="W432" s="6">
        <f>IF(U432&lt;&gt;"",ROUND(N(K432)/U432*100,1),"")</f>
        <v/>
      </c>
    </row>
    <row r="433">
      <c r="A433" s="3" t="n"/>
      <c r="B433" s="4" t="n"/>
      <c r="C433" s="4" t="n"/>
      <c r="D433" s="5" t="n"/>
      <c r="E433" s="5" t="n"/>
      <c r="F433" s="6">
        <f>IF(AND(D433&lt;&gt;"",E433&lt;&gt;""),ROUND((E433-D433)*1440,0),"")</f>
        <v/>
      </c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6">
        <f>IF(C433="착유장",기준값!$B$3,IF(C433="건유·육성우동",기준값!$B$2,""))</f>
        <v/>
      </c>
      <c r="V433" s="6">
        <f>IF(AND(F433&lt;&gt;"",F433&gt;0,U433&lt;&gt;""),ROUND((U433-N(K433))/(F433/60),0),"")</f>
        <v/>
      </c>
      <c r="W433" s="6">
        <f>IF(U433&lt;&gt;"",ROUND(N(K433)/U433*100,1),"")</f>
        <v/>
      </c>
    </row>
    <row r="434">
      <c r="A434" s="3" t="n"/>
      <c r="B434" s="4" t="n"/>
      <c r="C434" s="4" t="n"/>
      <c r="D434" s="5" t="n"/>
      <c r="E434" s="5" t="n"/>
      <c r="F434" s="6">
        <f>IF(AND(D434&lt;&gt;"",E434&lt;&gt;""),ROUND((E434-D434)*1440,0),"")</f>
        <v/>
      </c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6">
        <f>IF(C434="착유장",기준값!$B$3,IF(C434="건유·육성우동",기준값!$B$2,""))</f>
        <v/>
      </c>
      <c r="V434" s="6">
        <f>IF(AND(F434&lt;&gt;"",F434&gt;0,U434&lt;&gt;""),ROUND((U434-N(K434))/(F434/60),0),"")</f>
        <v/>
      </c>
      <c r="W434" s="6">
        <f>IF(U434&lt;&gt;"",ROUND(N(K434)/U434*100,1),"")</f>
        <v/>
      </c>
    </row>
    <row r="435">
      <c r="A435" s="3" t="n"/>
      <c r="B435" s="4" t="n"/>
      <c r="C435" s="4" t="n"/>
      <c r="D435" s="5" t="n"/>
      <c r="E435" s="5" t="n"/>
      <c r="F435" s="6">
        <f>IF(AND(D435&lt;&gt;"",E435&lt;&gt;""),ROUND((E435-D435)*1440,0),"")</f>
        <v/>
      </c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6">
        <f>IF(C435="착유장",기준값!$B$3,IF(C435="건유·육성우동",기준값!$B$2,""))</f>
        <v/>
      </c>
      <c r="V435" s="6">
        <f>IF(AND(F435&lt;&gt;"",F435&gt;0,U435&lt;&gt;""),ROUND((U435-N(K435))/(F435/60),0),"")</f>
        <v/>
      </c>
      <c r="W435" s="6">
        <f>IF(U435&lt;&gt;"",ROUND(N(K435)/U435*100,1),"")</f>
        <v/>
      </c>
    </row>
    <row r="436">
      <c r="A436" s="3" t="n"/>
      <c r="B436" s="4" t="n"/>
      <c r="C436" s="4" t="n"/>
      <c r="D436" s="5" t="n"/>
      <c r="E436" s="5" t="n"/>
      <c r="F436" s="6">
        <f>IF(AND(D436&lt;&gt;"",E436&lt;&gt;""),ROUND((E436-D436)*1440,0),"")</f>
        <v/>
      </c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6">
        <f>IF(C436="착유장",기준값!$B$3,IF(C436="건유·육성우동",기준값!$B$2,""))</f>
        <v/>
      </c>
      <c r="V436" s="6">
        <f>IF(AND(F436&lt;&gt;"",F436&gt;0,U436&lt;&gt;""),ROUND((U436-N(K436))/(F436/60),0),"")</f>
        <v/>
      </c>
      <c r="W436" s="6">
        <f>IF(U436&lt;&gt;"",ROUND(N(K436)/U436*100,1),"")</f>
        <v/>
      </c>
    </row>
    <row r="437">
      <c r="A437" s="3" t="n"/>
      <c r="B437" s="4" t="n"/>
      <c r="C437" s="4" t="n"/>
      <c r="D437" s="5" t="n"/>
      <c r="E437" s="5" t="n"/>
      <c r="F437" s="6">
        <f>IF(AND(D437&lt;&gt;"",E437&lt;&gt;""),ROUND((E437-D437)*1440,0),"")</f>
        <v/>
      </c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6">
        <f>IF(C437="착유장",기준값!$B$3,IF(C437="건유·육성우동",기준값!$B$2,""))</f>
        <v/>
      </c>
      <c r="V437" s="6">
        <f>IF(AND(F437&lt;&gt;"",F437&gt;0,U437&lt;&gt;""),ROUND((U437-N(K437))/(F437/60),0),"")</f>
        <v/>
      </c>
      <c r="W437" s="6">
        <f>IF(U437&lt;&gt;"",ROUND(N(K437)/U437*100,1),"")</f>
        <v/>
      </c>
    </row>
    <row r="438">
      <c r="A438" s="3" t="n"/>
      <c r="B438" s="4" t="n"/>
      <c r="C438" s="4" t="n"/>
      <c r="D438" s="5" t="n"/>
      <c r="E438" s="5" t="n"/>
      <c r="F438" s="6">
        <f>IF(AND(D438&lt;&gt;"",E438&lt;&gt;""),ROUND((E438-D438)*1440,0),"")</f>
        <v/>
      </c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6">
        <f>IF(C438="착유장",기준값!$B$3,IF(C438="건유·육성우동",기준값!$B$2,""))</f>
        <v/>
      </c>
      <c r="V438" s="6">
        <f>IF(AND(F438&lt;&gt;"",F438&gt;0,U438&lt;&gt;""),ROUND((U438-N(K438))/(F438/60),0),"")</f>
        <v/>
      </c>
      <c r="W438" s="6">
        <f>IF(U438&lt;&gt;"",ROUND(N(K438)/U438*100,1),"")</f>
        <v/>
      </c>
    </row>
    <row r="439">
      <c r="A439" s="3" t="n"/>
      <c r="B439" s="4" t="n"/>
      <c r="C439" s="4" t="n"/>
      <c r="D439" s="5" t="n"/>
      <c r="E439" s="5" t="n"/>
      <c r="F439" s="6">
        <f>IF(AND(D439&lt;&gt;"",E439&lt;&gt;""),ROUND((E439-D439)*1440,0),"")</f>
        <v/>
      </c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6">
        <f>IF(C439="착유장",기준값!$B$3,IF(C439="건유·육성우동",기준값!$B$2,""))</f>
        <v/>
      </c>
      <c r="V439" s="6">
        <f>IF(AND(F439&lt;&gt;"",F439&gt;0,U439&lt;&gt;""),ROUND((U439-N(K439))/(F439/60),0),"")</f>
        <v/>
      </c>
      <c r="W439" s="6">
        <f>IF(U439&lt;&gt;"",ROUND(N(K439)/U439*100,1),"")</f>
        <v/>
      </c>
    </row>
    <row r="440">
      <c r="A440" s="3" t="n"/>
      <c r="B440" s="4" t="n"/>
      <c r="C440" s="4" t="n"/>
      <c r="D440" s="5" t="n"/>
      <c r="E440" s="5" t="n"/>
      <c r="F440" s="6">
        <f>IF(AND(D440&lt;&gt;"",E440&lt;&gt;""),ROUND((E440-D440)*1440,0),"")</f>
        <v/>
      </c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6">
        <f>IF(C440="착유장",기준값!$B$3,IF(C440="건유·육성우동",기준값!$B$2,""))</f>
        <v/>
      </c>
      <c r="V440" s="6">
        <f>IF(AND(F440&lt;&gt;"",F440&gt;0,U440&lt;&gt;""),ROUND((U440-N(K440))/(F440/60),0),"")</f>
        <v/>
      </c>
      <c r="W440" s="6">
        <f>IF(U440&lt;&gt;"",ROUND(N(K440)/U440*100,1),"")</f>
        <v/>
      </c>
    </row>
    <row r="441">
      <c r="A441" s="3" t="n"/>
      <c r="B441" s="4" t="n"/>
      <c r="C441" s="4" t="n"/>
      <c r="D441" s="5" t="n"/>
      <c r="E441" s="5" t="n"/>
      <c r="F441" s="6">
        <f>IF(AND(D441&lt;&gt;"",E441&lt;&gt;""),ROUND((E441-D441)*1440,0),"")</f>
        <v/>
      </c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6">
        <f>IF(C441="착유장",기준값!$B$3,IF(C441="건유·육성우동",기준값!$B$2,""))</f>
        <v/>
      </c>
      <c r="V441" s="6">
        <f>IF(AND(F441&lt;&gt;"",F441&gt;0,U441&lt;&gt;""),ROUND((U441-N(K441))/(F441/60),0),"")</f>
        <v/>
      </c>
      <c r="W441" s="6">
        <f>IF(U441&lt;&gt;"",ROUND(N(K441)/U441*100,1),"")</f>
        <v/>
      </c>
    </row>
    <row r="442">
      <c r="A442" s="3" t="n"/>
      <c r="B442" s="4" t="n"/>
      <c r="C442" s="4" t="n"/>
      <c r="D442" s="5" t="n"/>
      <c r="E442" s="5" t="n"/>
      <c r="F442" s="6">
        <f>IF(AND(D442&lt;&gt;"",E442&lt;&gt;""),ROUND((E442-D442)*1440,0),"")</f>
        <v/>
      </c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6">
        <f>IF(C442="착유장",기준값!$B$3,IF(C442="건유·육성우동",기준값!$B$2,""))</f>
        <v/>
      </c>
      <c r="V442" s="6">
        <f>IF(AND(F442&lt;&gt;"",F442&gt;0,U442&lt;&gt;""),ROUND((U442-N(K442))/(F442/60),0),"")</f>
        <v/>
      </c>
      <c r="W442" s="6">
        <f>IF(U442&lt;&gt;"",ROUND(N(K442)/U442*100,1),"")</f>
        <v/>
      </c>
    </row>
    <row r="443">
      <c r="A443" s="3" t="n"/>
      <c r="B443" s="4" t="n"/>
      <c r="C443" s="4" t="n"/>
      <c r="D443" s="5" t="n"/>
      <c r="E443" s="5" t="n"/>
      <c r="F443" s="6">
        <f>IF(AND(D443&lt;&gt;"",E443&lt;&gt;""),ROUND((E443-D443)*1440,0),"")</f>
        <v/>
      </c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6">
        <f>IF(C443="착유장",기준값!$B$3,IF(C443="건유·육성우동",기준값!$B$2,""))</f>
        <v/>
      </c>
      <c r="V443" s="6">
        <f>IF(AND(F443&lt;&gt;"",F443&gt;0,U443&lt;&gt;""),ROUND((U443-N(K443))/(F443/60),0),"")</f>
        <v/>
      </c>
      <c r="W443" s="6">
        <f>IF(U443&lt;&gt;"",ROUND(N(K443)/U443*100,1),"")</f>
        <v/>
      </c>
    </row>
    <row r="444">
      <c r="A444" s="3" t="n"/>
      <c r="B444" s="4" t="n"/>
      <c r="C444" s="4" t="n"/>
      <c r="D444" s="5" t="n"/>
      <c r="E444" s="5" t="n"/>
      <c r="F444" s="6">
        <f>IF(AND(D444&lt;&gt;"",E444&lt;&gt;""),ROUND((E444-D444)*1440,0),"")</f>
        <v/>
      </c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6">
        <f>IF(C444="착유장",기준값!$B$3,IF(C444="건유·육성우동",기준값!$B$2,""))</f>
        <v/>
      </c>
      <c r="V444" s="6">
        <f>IF(AND(F444&lt;&gt;"",F444&gt;0,U444&lt;&gt;""),ROUND((U444-N(K444))/(F444/60),0),"")</f>
        <v/>
      </c>
      <c r="W444" s="6">
        <f>IF(U444&lt;&gt;"",ROUND(N(K444)/U444*100,1),"")</f>
        <v/>
      </c>
    </row>
    <row r="445">
      <c r="A445" s="3" t="n"/>
      <c r="B445" s="4" t="n"/>
      <c r="C445" s="4" t="n"/>
      <c r="D445" s="5" t="n"/>
      <c r="E445" s="5" t="n"/>
      <c r="F445" s="6">
        <f>IF(AND(D445&lt;&gt;"",E445&lt;&gt;""),ROUND((E445-D445)*1440,0),"")</f>
        <v/>
      </c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6">
        <f>IF(C445="착유장",기준값!$B$3,IF(C445="건유·육성우동",기준값!$B$2,""))</f>
        <v/>
      </c>
      <c r="V445" s="6">
        <f>IF(AND(F445&lt;&gt;"",F445&gt;0,U445&lt;&gt;""),ROUND((U445-N(K445))/(F445/60),0),"")</f>
        <v/>
      </c>
      <c r="W445" s="6">
        <f>IF(U445&lt;&gt;"",ROUND(N(K445)/U445*100,1),"")</f>
        <v/>
      </c>
    </row>
    <row r="446">
      <c r="A446" s="3" t="n"/>
      <c r="B446" s="4" t="n"/>
      <c r="C446" s="4" t="n"/>
      <c r="D446" s="5" t="n"/>
      <c r="E446" s="5" t="n"/>
      <c r="F446" s="6">
        <f>IF(AND(D446&lt;&gt;"",E446&lt;&gt;""),ROUND((E446-D446)*1440,0),"")</f>
        <v/>
      </c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6">
        <f>IF(C446="착유장",기준값!$B$3,IF(C446="건유·육성우동",기준값!$B$2,""))</f>
        <v/>
      </c>
      <c r="V446" s="6">
        <f>IF(AND(F446&lt;&gt;"",F446&gt;0,U446&lt;&gt;""),ROUND((U446-N(K446))/(F446/60),0),"")</f>
        <v/>
      </c>
      <c r="W446" s="6">
        <f>IF(U446&lt;&gt;"",ROUND(N(K446)/U446*100,1),"")</f>
        <v/>
      </c>
    </row>
    <row r="447">
      <c r="A447" s="3" t="n"/>
      <c r="B447" s="4" t="n"/>
      <c r="C447" s="4" t="n"/>
      <c r="D447" s="5" t="n"/>
      <c r="E447" s="5" t="n"/>
      <c r="F447" s="6">
        <f>IF(AND(D447&lt;&gt;"",E447&lt;&gt;""),ROUND((E447-D447)*1440,0),"")</f>
        <v/>
      </c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6">
        <f>IF(C447="착유장",기준값!$B$3,IF(C447="건유·육성우동",기준값!$B$2,""))</f>
        <v/>
      </c>
      <c r="V447" s="6">
        <f>IF(AND(F447&lt;&gt;"",F447&gt;0,U447&lt;&gt;""),ROUND((U447-N(K447))/(F447/60),0),"")</f>
        <v/>
      </c>
      <c r="W447" s="6">
        <f>IF(U447&lt;&gt;"",ROUND(N(K447)/U447*100,1),"")</f>
        <v/>
      </c>
    </row>
    <row r="448">
      <c r="A448" s="3" t="n"/>
      <c r="B448" s="4" t="n"/>
      <c r="C448" s="4" t="n"/>
      <c r="D448" s="5" t="n"/>
      <c r="E448" s="5" t="n"/>
      <c r="F448" s="6">
        <f>IF(AND(D448&lt;&gt;"",E448&lt;&gt;""),ROUND((E448-D448)*1440,0),"")</f>
        <v/>
      </c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6">
        <f>IF(C448="착유장",기준값!$B$3,IF(C448="건유·육성우동",기준값!$B$2,""))</f>
        <v/>
      </c>
      <c r="V448" s="6">
        <f>IF(AND(F448&lt;&gt;"",F448&gt;0,U448&lt;&gt;""),ROUND((U448-N(K448))/(F448/60),0),"")</f>
        <v/>
      </c>
      <c r="W448" s="6">
        <f>IF(U448&lt;&gt;"",ROUND(N(K448)/U448*100,1),"")</f>
        <v/>
      </c>
    </row>
    <row r="449">
      <c r="A449" s="3" t="n"/>
      <c r="B449" s="4" t="n"/>
      <c r="C449" s="4" t="n"/>
      <c r="D449" s="5" t="n"/>
      <c r="E449" s="5" t="n"/>
      <c r="F449" s="6">
        <f>IF(AND(D449&lt;&gt;"",E449&lt;&gt;""),ROUND((E449-D449)*1440,0),"")</f>
        <v/>
      </c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6">
        <f>IF(C449="착유장",기준값!$B$3,IF(C449="건유·육성우동",기준값!$B$2,""))</f>
        <v/>
      </c>
      <c r="V449" s="6">
        <f>IF(AND(F449&lt;&gt;"",F449&gt;0,U449&lt;&gt;""),ROUND((U449-N(K449))/(F449/60),0),"")</f>
        <v/>
      </c>
      <c r="W449" s="6">
        <f>IF(U449&lt;&gt;"",ROUND(N(K449)/U449*100,1),"")</f>
        <v/>
      </c>
    </row>
    <row r="450">
      <c r="A450" s="3" t="n"/>
      <c r="B450" s="4" t="n"/>
      <c r="C450" s="4" t="n"/>
      <c r="D450" s="5" t="n"/>
      <c r="E450" s="5" t="n"/>
      <c r="F450" s="6">
        <f>IF(AND(D450&lt;&gt;"",E450&lt;&gt;""),ROUND((E450-D450)*1440,0),"")</f>
        <v/>
      </c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6">
        <f>IF(C450="착유장",기준값!$B$3,IF(C450="건유·육성우동",기준값!$B$2,""))</f>
        <v/>
      </c>
      <c r="V450" s="6">
        <f>IF(AND(F450&lt;&gt;"",F450&gt;0,U450&lt;&gt;""),ROUND((U450-N(K450))/(F450/60),0),"")</f>
        <v/>
      </c>
      <c r="W450" s="6">
        <f>IF(U450&lt;&gt;"",ROUND(N(K450)/U450*100,1),"")</f>
        <v/>
      </c>
    </row>
    <row r="451">
      <c r="A451" s="3" t="n"/>
      <c r="B451" s="4" t="n"/>
      <c r="C451" s="4" t="n"/>
      <c r="D451" s="5" t="n"/>
      <c r="E451" s="5" t="n"/>
      <c r="F451" s="6">
        <f>IF(AND(D451&lt;&gt;"",E451&lt;&gt;""),ROUND((E451-D451)*1440,0),"")</f>
        <v/>
      </c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6">
        <f>IF(C451="착유장",기준값!$B$3,IF(C451="건유·육성우동",기준값!$B$2,""))</f>
        <v/>
      </c>
      <c r="V451" s="6">
        <f>IF(AND(F451&lt;&gt;"",F451&gt;0,U451&lt;&gt;""),ROUND((U451-N(K451))/(F451/60),0),"")</f>
        <v/>
      </c>
      <c r="W451" s="6">
        <f>IF(U451&lt;&gt;"",ROUND(N(K451)/U451*100,1),"")</f>
        <v/>
      </c>
    </row>
    <row r="452">
      <c r="A452" s="3" t="n"/>
      <c r="B452" s="4" t="n"/>
      <c r="C452" s="4" t="n"/>
      <c r="D452" s="5" t="n"/>
      <c r="E452" s="5" t="n"/>
      <c r="F452" s="6">
        <f>IF(AND(D452&lt;&gt;"",E452&lt;&gt;""),ROUND((E452-D452)*1440,0),"")</f>
        <v/>
      </c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6">
        <f>IF(C452="착유장",기준값!$B$3,IF(C452="건유·육성우동",기준값!$B$2,""))</f>
        <v/>
      </c>
      <c r="V452" s="6">
        <f>IF(AND(F452&lt;&gt;"",F452&gt;0,U452&lt;&gt;""),ROUND((U452-N(K452))/(F452/60),0),"")</f>
        <v/>
      </c>
      <c r="W452" s="6">
        <f>IF(U452&lt;&gt;"",ROUND(N(K452)/U452*100,1),"")</f>
        <v/>
      </c>
    </row>
    <row r="453">
      <c r="A453" s="3" t="n"/>
      <c r="B453" s="4" t="n"/>
      <c r="C453" s="4" t="n"/>
      <c r="D453" s="5" t="n"/>
      <c r="E453" s="5" t="n"/>
      <c r="F453" s="6">
        <f>IF(AND(D453&lt;&gt;"",E453&lt;&gt;""),ROUND((E453-D453)*1440,0),"")</f>
        <v/>
      </c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6">
        <f>IF(C453="착유장",기준값!$B$3,IF(C453="건유·육성우동",기준값!$B$2,""))</f>
        <v/>
      </c>
      <c r="V453" s="6">
        <f>IF(AND(F453&lt;&gt;"",F453&gt;0,U453&lt;&gt;""),ROUND((U453-N(K453))/(F453/60),0),"")</f>
        <v/>
      </c>
      <c r="W453" s="6">
        <f>IF(U453&lt;&gt;"",ROUND(N(K453)/U453*100,1),"")</f>
        <v/>
      </c>
    </row>
    <row r="454">
      <c r="A454" s="3" t="n"/>
      <c r="B454" s="4" t="n"/>
      <c r="C454" s="4" t="n"/>
      <c r="D454" s="5" t="n"/>
      <c r="E454" s="5" t="n"/>
      <c r="F454" s="6">
        <f>IF(AND(D454&lt;&gt;"",E454&lt;&gt;""),ROUND((E454-D454)*1440,0),"")</f>
        <v/>
      </c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6">
        <f>IF(C454="착유장",기준값!$B$3,IF(C454="건유·육성우동",기준값!$B$2,""))</f>
        <v/>
      </c>
      <c r="V454" s="6">
        <f>IF(AND(F454&lt;&gt;"",F454&gt;0,U454&lt;&gt;""),ROUND((U454-N(K454))/(F454/60),0),"")</f>
        <v/>
      </c>
      <c r="W454" s="6">
        <f>IF(U454&lt;&gt;"",ROUND(N(K454)/U454*100,1),"")</f>
        <v/>
      </c>
    </row>
    <row r="455">
      <c r="A455" s="3" t="n"/>
      <c r="B455" s="4" t="n"/>
      <c r="C455" s="4" t="n"/>
      <c r="D455" s="5" t="n"/>
      <c r="E455" s="5" t="n"/>
      <c r="F455" s="6">
        <f>IF(AND(D455&lt;&gt;"",E455&lt;&gt;""),ROUND((E455-D455)*1440,0),"")</f>
        <v/>
      </c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6">
        <f>IF(C455="착유장",기준값!$B$3,IF(C455="건유·육성우동",기준값!$B$2,""))</f>
        <v/>
      </c>
      <c r="V455" s="6">
        <f>IF(AND(F455&lt;&gt;"",F455&gt;0,U455&lt;&gt;""),ROUND((U455-N(K455))/(F455/60),0),"")</f>
        <v/>
      </c>
      <c r="W455" s="6">
        <f>IF(U455&lt;&gt;"",ROUND(N(K455)/U455*100,1),"")</f>
        <v/>
      </c>
    </row>
    <row r="456">
      <c r="A456" s="3" t="n"/>
      <c r="B456" s="4" t="n"/>
      <c r="C456" s="4" t="n"/>
      <c r="D456" s="5" t="n"/>
      <c r="E456" s="5" t="n"/>
      <c r="F456" s="6">
        <f>IF(AND(D456&lt;&gt;"",E456&lt;&gt;""),ROUND((E456-D456)*1440,0),"")</f>
        <v/>
      </c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6">
        <f>IF(C456="착유장",기준값!$B$3,IF(C456="건유·육성우동",기준값!$B$2,""))</f>
        <v/>
      </c>
      <c r="V456" s="6">
        <f>IF(AND(F456&lt;&gt;"",F456&gt;0,U456&lt;&gt;""),ROUND((U456-N(K456))/(F456/60),0),"")</f>
        <v/>
      </c>
      <c r="W456" s="6">
        <f>IF(U456&lt;&gt;"",ROUND(N(K456)/U456*100,1),"")</f>
        <v/>
      </c>
    </row>
    <row r="457">
      <c r="A457" s="3" t="n"/>
      <c r="B457" s="4" t="n"/>
      <c r="C457" s="4" t="n"/>
      <c r="D457" s="5" t="n"/>
      <c r="E457" s="5" t="n"/>
      <c r="F457" s="6">
        <f>IF(AND(D457&lt;&gt;"",E457&lt;&gt;""),ROUND((E457-D457)*1440,0),"")</f>
        <v/>
      </c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6">
        <f>IF(C457="착유장",기준값!$B$3,IF(C457="건유·육성우동",기준값!$B$2,""))</f>
        <v/>
      </c>
      <c r="V457" s="6">
        <f>IF(AND(F457&lt;&gt;"",F457&gt;0,U457&lt;&gt;""),ROUND((U457-N(K457))/(F457/60),0),"")</f>
        <v/>
      </c>
      <c r="W457" s="6">
        <f>IF(U457&lt;&gt;"",ROUND(N(K457)/U457*100,1),"")</f>
        <v/>
      </c>
    </row>
    <row r="458">
      <c r="A458" s="3" t="n"/>
      <c r="B458" s="4" t="n"/>
      <c r="C458" s="4" t="n"/>
      <c r="D458" s="5" t="n"/>
      <c r="E458" s="5" t="n"/>
      <c r="F458" s="6">
        <f>IF(AND(D458&lt;&gt;"",E458&lt;&gt;""),ROUND((E458-D458)*1440,0),"")</f>
        <v/>
      </c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6">
        <f>IF(C458="착유장",기준값!$B$3,IF(C458="건유·육성우동",기준값!$B$2,""))</f>
        <v/>
      </c>
      <c r="V458" s="6">
        <f>IF(AND(F458&lt;&gt;"",F458&gt;0,U458&lt;&gt;""),ROUND((U458-N(K458))/(F458/60),0),"")</f>
        <v/>
      </c>
      <c r="W458" s="6">
        <f>IF(U458&lt;&gt;"",ROUND(N(K458)/U458*100,1),"")</f>
        <v/>
      </c>
    </row>
    <row r="459">
      <c r="A459" s="3" t="n"/>
      <c r="B459" s="4" t="n"/>
      <c r="C459" s="4" t="n"/>
      <c r="D459" s="5" t="n"/>
      <c r="E459" s="5" t="n"/>
      <c r="F459" s="6">
        <f>IF(AND(D459&lt;&gt;"",E459&lt;&gt;""),ROUND((E459-D459)*1440,0),"")</f>
        <v/>
      </c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6">
        <f>IF(C459="착유장",기준값!$B$3,IF(C459="건유·육성우동",기준값!$B$2,""))</f>
        <v/>
      </c>
      <c r="V459" s="6">
        <f>IF(AND(F459&lt;&gt;"",F459&gt;0,U459&lt;&gt;""),ROUND((U459-N(K459))/(F459/60),0),"")</f>
        <v/>
      </c>
      <c r="W459" s="6">
        <f>IF(U459&lt;&gt;"",ROUND(N(K459)/U459*100,1),"")</f>
        <v/>
      </c>
    </row>
    <row r="460">
      <c r="A460" s="3" t="n"/>
      <c r="B460" s="4" t="n"/>
      <c r="C460" s="4" t="n"/>
      <c r="D460" s="5" t="n"/>
      <c r="E460" s="5" t="n"/>
      <c r="F460" s="6">
        <f>IF(AND(D460&lt;&gt;"",E460&lt;&gt;""),ROUND((E460-D460)*1440,0),"")</f>
        <v/>
      </c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6">
        <f>IF(C460="착유장",기준값!$B$3,IF(C460="건유·육성우동",기준값!$B$2,""))</f>
        <v/>
      </c>
      <c r="V460" s="6">
        <f>IF(AND(F460&lt;&gt;"",F460&gt;0,U460&lt;&gt;""),ROUND((U460-N(K460))/(F460/60),0),"")</f>
        <v/>
      </c>
      <c r="W460" s="6">
        <f>IF(U460&lt;&gt;"",ROUND(N(K460)/U460*100,1),"")</f>
        <v/>
      </c>
    </row>
    <row r="461">
      <c r="A461" s="3" t="n"/>
      <c r="B461" s="4" t="n"/>
      <c r="C461" s="4" t="n"/>
      <c r="D461" s="5" t="n"/>
      <c r="E461" s="5" t="n"/>
      <c r="F461" s="6">
        <f>IF(AND(D461&lt;&gt;"",E461&lt;&gt;""),ROUND((E461-D461)*1440,0),"")</f>
        <v/>
      </c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6">
        <f>IF(C461="착유장",기준값!$B$3,IF(C461="건유·육성우동",기준값!$B$2,""))</f>
        <v/>
      </c>
      <c r="V461" s="6">
        <f>IF(AND(F461&lt;&gt;"",F461&gt;0,U461&lt;&gt;""),ROUND((U461-N(K461))/(F461/60),0),"")</f>
        <v/>
      </c>
      <c r="W461" s="6">
        <f>IF(U461&lt;&gt;"",ROUND(N(K461)/U461*100,1),"")</f>
        <v/>
      </c>
    </row>
    <row r="462">
      <c r="A462" s="3" t="n"/>
      <c r="B462" s="4" t="n"/>
      <c r="C462" s="4" t="n"/>
      <c r="D462" s="5" t="n"/>
      <c r="E462" s="5" t="n"/>
      <c r="F462" s="6">
        <f>IF(AND(D462&lt;&gt;"",E462&lt;&gt;""),ROUND((E462-D462)*1440,0),"")</f>
        <v/>
      </c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6">
        <f>IF(C462="착유장",기준값!$B$3,IF(C462="건유·육성우동",기준값!$B$2,""))</f>
        <v/>
      </c>
      <c r="V462" s="6">
        <f>IF(AND(F462&lt;&gt;"",F462&gt;0,U462&lt;&gt;""),ROUND((U462-N(K462))/(F462/60),0),"")</f>
        <v/>
      </c>
      <c r="W462" s="6">
        <f>IF(U462&lt;&gt;"",ROUND(N(K462)/U462*100,1),"")</f>
        <v/>
      </c>
    </row>
    <row r="463">
      <c r="A463" s="3" t="n"/>
      <c r="B463" s="4" t="n"/>
      <c r="C463" s="4" t="n"/>
      <c r="D463" s="5" t="n"/>
      <c r="E463" s="5" t="n"/>
      <c r="F463" s="6">
        <f>IF(AND(D463&lt;&gt;"",E463&lt;&gt;""),ROUND((E463-D463)*1440,0),"")</f>
        <v/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6">
        <f>IF(C463="착유장",기준값!$B$3,IF(C463="건유·육성우동",기준값!$B$2,""))</f>
        <v/>
      </c>
      <c r="V463" s="6">
        <f>IF(AND(F463&lt;&gt;"",F463&gt;0,U463&lt;&gt;""),ROUND((U463-N(K463))/(F463/60),0),"")</f>
        <v/>
      </c>
      <c r="W463" s="6">
        <f>IF(U463&lt;&gt;"",ROUND(N(K463)/U463*100,1),"")</f>
        <v/>
      </c>
    </row>
    <row r="464">
      <c r="A464" s="3" t="n"/>
      <c r="B464" s="4" t="n"/>
      <c r="C464" s="4" t="n"/>
      <c r="D464" s="5" t="n"/>
      <c r="E464" s="5" t="n"/>
      <c r="F464" s="6">
        <f>IF(AND(D464&lt;&gt;"",E464&lt;&gt;""),ROUND((E464-D464)*1440,0),"")</f>
        <v/>
      </c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6">
        <f>IF(C464="착유장",기준값!$B$3,IF(C464="건유·육성우동",기준값!$B$2,""))</f>
        <v/>
      </c>
      <c r="V464" s="6">
        <f>IF(AND(F464&lt;&gt;"",F464&gt;0,U464&lt;&gt;""),ROUND((U464-N(K464))/(F464/60),0),"")</f>
        <v/>
      </c>
      <c r="W464" s="6">
        <f>IF(U464&lt;&gt;"",ROUND(N(K464)/U464*100,1),"")</f>
        <v/>
      </c>
    </row>
    <row r="465">
      <c r="A465" s="3" t="n"/>
      <c r="B465" s="4" t="n"/>
      <c r="C465" s="4" t="n"/>
      <c r="D465" s="5" t="n"/>
      <c r="E465" s="5" t="n"/>
      <c r="F465" s="6">
        <f>IF(AND(D465&lt;&gt;"",E465&lt;&gt;""),ROUND((E465-D465)*1440,0),"")</f>
        <v/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6">
        <f>IF(C465="착유장",기준값!$B$3,IF(C465="건유·육성우동",기준값!$B$2,""))</f>
        <v/>
      </c>
      <c r="V465" s="6">
        <f>IF(AND(F465&lt;&gt;"",F465&gt;0,U465&lt;&gt;""),ROUND((U465-N(K465))/(F465/60),0),"")</f>
        <v/>
      </c>
      <c r="W465" s="6">
        <f>IF(U465&lt;&gt;"",ROUND(N(K465)/U465*100,1),"")</f>
        <v/>
      </c>
    </row>
    <row r="466">
      <c r="A466" s="3" t="n"/>
      <c r="B466" s="4" t="n"/>
      <c r="C466" s="4" t="n"/>
      <c r="D466" s="5" t="n"/>
      <c r="E466" s="5" t="n"/>
      <c r="F466" s="6">
        <f>IF(AND(D466&lt;&gt;"",E466&lt;&gt;""),ROUND((E466-D466)*1440,0),"")</f>
        <v/>
      </c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6">
        <f>IF(C466="착유장",기준값!$B$3,IF(C466="건유·육성우동",기준값!$B$2,""))</f>
        <v/>
      </c>
      <c r="V466" s="6">
        <f>IF(AND(F466&lt;&gt;"",F466&gt;0,U466&lt;&gt;""),ROUND((U466-N(K466))/(F466/60),0),"")</f>
        <v/>
      </c>
      <c r="W466" s="6">
        <f>IF(U466&lt;&gt;"",ROUND(N(K466)/U466*100,1),"")</f>
        <v/>
      </c>
    </row>
    <row r="467">
      <c r="A467" s="3" t="n"/>
      <c r="B467" s="4" t="n"/>
      <c r="C467" s="4" t="n"/>
      <c r="D467" s="5" t="n"/>
      <c r="E467" s="5" t="n"/>
      <c r="F467" s="6">
        <f>IF(AND(D467&lt;&gt;"",E467&lt;&gt;""),ROUND((E467-D467)*1440,0),"")</f>
        <v/>
      </c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6">
        <f>IF(C467="착유장",기준값!$B$3,IF(C467="건유·육성우동",기준값!$B$2,""))</f>
        <v/>
      </c>
      <c r="V467" s="6">
        <f>IF(AND(F467&lt;&gt;"",F467&gt;0,U467&lt;&gt;""),ROUND((U467-N(K467))/(F467/60),0),"")</f>
        <v/>
      </c>
      <c r="W467" s="6">
        <f>IF(U467&lt;&gt;"",ROUND(N(K467)/U467*100,1),"")</f>
        <v/>
      </c>
    </row>
    <row r="468">
      <c r="A468" s="3" t="n"/>
      <c r="B468" s="4" t="n"/>
      <c r="C468" s="4" t="n"/>
      <c r="D468" s="5" t="n"/>
      <c r="E468" s="5" t="n"/>
      <c r="F468" s="6">
        <f>IF(AND(D468&lt;&gt;"",E468&lt;&gt;""),ROUND((E468-D468)*1440,0),"")</f>
        <v/>
      </c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6">
        <f>IF(C468="착유장",기준값!$B$3,IF(C468="건유·육성우동",기준값!$B$2,""))</f>
        <v/>
      </c>
      <c r="V468" s="6">
        <f>IF(AND(F468&lt;&gt;"",F468&gt;0,U468&lt;&gt;""),ROUND((U468-N(K468))/(F468/60),0),"")</f>
        <v/>
      </c>
      <c r="W468" s="6">
        <f>IF(U468&lt;&gt;"",ROUND(N(K468)/U468*100,1),"")</f>
        <v/>
      </c>
    </row>
    <row r="469">
      <c r="A469" s="3" t="n"/>
      <c r="B469" s="4" t="n"/>
      <c r="C469" s="4" t="n"/>
      <c r="D469" s="5" t="n"/>
      <c r="E469" s="5" t="n"/>
      <c r="F469" s="6">
        <f>IF(AND(D469&lt;&gt;"",E469&lt;&gt;""),ROUND((E469-D469)*1440,0),"")</f>
        <v/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6">
        <f>IF(C469="착유장",기준값!$B$3,IF(C469="건유·육성우동",기준값!$B$2,""))</f>
        <v/>
      </c>
      <c r="V469" s="6">
        <f>IF(AND(F469&lt;&gt;"",F469&gt;0,U469&lt;&gt;""),ROUND((U469-N(K469))/(F469/60),0),"")</f>
        <v/>
      </c>
      <c r="W469" s="6">
        <f>IF(U469&lt;&gt;"",ROUND(N(K469)/U469*100,1),"")</f>
        <v/>
      </c>
    </row>
    <row r="470">
      <c r="A470" s="3" t="n"/>
      <c r="B470" s="4" t="n"/>
      <c r="C470" s="4" t="n"/>
      <c r="D470" s="5" t="n"/>
      <c r="E470" s="5" t="n"/>
      <c r="F470" s="6">
        <f>IF(AND(D470&lt;&gt;"",E470&lt;&gt;""),ROUND((E470-D470)*1440,0),"")</f>
        <v/>
      </c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6">
        <f>IF(C470="착유장",기준값!$B$3,IF(C470="건유·육성우동",기준값!$B$2,""))</f>
        <v/>
      </c>
      <c r="V470" s="6">
        <f>IF(AND(F470&lt;&gt;"",F470&gt;0,U470&lt;&gt;""),ROUND((U470-N(K470))/(F470/60),0),"")</f>
        <v/>
      </c>
      <c r="W470" s="6">
        <f>IF(U470&lt;&gt;"",ROUND(N(K470)/U470*100,1),"")</f>
        <v/>
      </c>
    </row>
    <row r="471">
      <c r="A471" s="3" t="n"/>
      <c r="B471" s="4" t="n"/>
      <c r="C471" s="4" t="n"/>
      <c r="D471" s="5" t="n"/>
      <c r="E471" s="5" t="n"/>
      <c r="F471" s="6">
        <f>IF(AND(D471&lt;&gt;"",E471&lt;&gt;""),ROUND((E471-D471)*1440,0),"")</f>
        <v/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6">
        <f>IF(C471="착유장",기준값!$B$3,IF(C471="건유·육성우동",기준값!$B$2,""))</f>
        <v/>
      </c>
      <c r="V471" s="6">
        <f>IF(AND(F471&lt;&gt;"",F471&gt;0,U471&lt;&gt;""),ROUND((U471-N(K471))/(F471/60),0),"")</f>
        <v/>
      </c>
      <c r="W471" s="6">
        <f>IF(U471&lt;&gt;"",ROUND(N(K471)/U471*100,1),"")</f>
        <v/>
      </c>
    </row>
    <row r="472">
      <c r="A472" s="3" t="n"/>
      <c r="B472" s="4" t="n"/>
      <c r="C472" s="4" t="n"/>
      <c r="D472" s="5" t="n"/>
      <c r="E472" s="5" t="n"/>
      <c r="F472" s="6">
        <f>IF(AND(D472&lt;&gt;"",E472&lt;&gt;""),ROUND((E472-D472)*1440,0),"")</f>
        <v/>
      </c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6">
        <f>IF(C472="착유장",기준값!$B$3,IF(C472="건유·육성우동",기준값!$B$2,""))</f>
        <v/>
      </c>
      <c r="V472" s="6">
        <f>IF(AND(F472&lt;&gt;"",F472&gt;0,U472&lt;&gt;""),ROUND((U472-N(K472))/(F472/60),0),"")</f>
        <v/>
      </c>
      <c r="W472" s="6">
        <f>IF(U472&lt;&gt;"",ROUND(N(K472)/U472*100,1),"")</f>
        <v/>
      </c>
    </row>
    <row r="473">
      <c r="A473" s="3" t="n"/>
      <c r="B473" s="4" t="n"/>
      <c r="C473" s="4" t="n"/>
      <c r="D473" s="5" t="n"/>
      <c r="E473" s="5" t="n"/>
      <c r="F473" s="6">
        <f>IF(AND(D473&lt;&gt;"",E473&lt;&gt;""),ROUND((E473-D473)*1440,0),"")</f>
        <v/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6">
        <f>IF(C473="착유장",기준값!$B$3,IF(C473="건유·육성우동",기준값!$B$2,""))</f>
        <v/>
      </c>
      <c r="V473" s="6">
        <f>IF(AND(F473&lt;&gt;"",F473&gt;0,U473&lt;&gt;""),ROUND((U473-N(K473))/(F473/60),0),"")</f>
        <v/>
      </c>
      <c r="W473" s="6">
        <f>IF(U473&lt;&gt;"",ROUND(N(K473)/U473*100,1),"")</f>
        <v/>
      </c>
    </row>
    <row r="474">
      <c r="A474" s="3" t="n"/>
      <c r="B474" s="4" t="n"/>
      <c r="C474" s="4" t="n"/>
      <c r="D474" s="5" t="n"/>
      <c r="E474" s="5" t="n"/>
      <c r="F474" s="6">
        <f>IF(AND(D474&lt;&gt;"",E474&lt;&gt;""),ROUND((E474-D474)*1440,0),"")</f>
        <v/>
      </c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6">
        <f>IF(C474="착유장",기준값!$B$3,IF(C474="건유·육성우동",기준값!$B$2,""))</f>
        <v/>
      </c>
      <c r="V474" s="6">
        <f>IF(AND(F474&lt;&gt;"",F474&gt;0,U474&lt;&gt;""),ROUND((U474-N(K474))/(F474/60),0),"")</f>
        <v/>
      </c>
      <c r="W474" s="6">
        <f>IF(U474&lt;&gt;"",ROUND(N(K474)/U474*100,1),"")</f>
        <v/>
      </c>
    </row>
    <row r="475">
      <c r="A475" s="3" t="n"/>
      <c r="B475" s="4" t="n"/>
      <c r="C475" s="4" t="n"/>
      <c r="D475" s="5" t="n"/>
      <c r="E475" s="5" t="n"/>
      <c r="F475" s="6">
        <f>IF(AND(D475&lt;&gt;"",E475&lt;&gt;""),ROUND((E475-D475)*1440,0),"")</f>
        <v/>
      </c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6">
        <f>IF(C475="착유장",기준값!$B$3,IF(C475="건유·육성우동",기준값!$B$2,""))</f>
        <v/>
      </c>
      <c r="V475" s="6">
        <f>IF(AND(F475&lt;&gt;"",F475&gt;0,U475&lt;&gt;""),ROUND((U475-N(K475))/(F475/60),0),"")</f>
        <v/>
      </c>
      <c r="W475" s="6">
        <f>IF(U475&lt;&gt;"",ROUND(N(K475)/U475*100,1),"")</f>
        <v/>
      </c>
    </row>
    <row r="476">
      <c r="A476" s="3" t="n"/>
      <c r="B476" s="4" t="n"/>
      <c r="C476" s="4" t="n"/>
      <c r="D476" s="5" t="n"/>
      <c r="E476" s="5" t="n"/>
      <c r="F476" s="6">
        <f>IF(AND(D476&lt;&gt;"",E476&lt;&gt;""),ROUND((E476-D476)*1440,0),"")</f>
        <v/>
      </c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6">
        <f>IF(C476="착유장",기준값!$B$3,IF(C476="건유·육성우동",기준값!$B$2,""))</f>
        <v/>
      </c>
      <c r="V476" s="6">
        <f>IF(AND(F476&lt;&gt;"",F476&gt;0,U476&lt;&gt;""),ROUND((U476-N(K476))/(F476/60),0),"")</f>
        <v/>
      </c>
      <c r="W476" s="6">
        <f>IF(U476&lt;&gt;"",ROUND(N(K476)/U476*100,1),"")</f>
        <v/>
      </c>
    </row>
    <row r="477">
      <c r="A477" s="3" t="n"/>
      <c r="B477" s="4" t="n"/>
      <c r="C477" s="4" t="n"/>
      <c r="D477" s="5" t="n"/>
      <c r="E477" s="5" t="n"/>
      <c r="F477" s="6">
        <f>IF(AND(D477&lt;&gt;"",E477&lt;&gt;""),ROUND((E477-D477)*1440,0),"")</f>
        <v/>
      </c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6">
        <f>IF(C477="착유장",기준값!$B$3,IF(C477="건유·육성우동",기준값!$B$2,""))</f>
        <v/>
      </c>
      <c r="V477" s="6">
        <f>IF(AND(F477&lt;&gt;"",F477&gt;0,U477&lt;&gt;""),ROUND((U477-N(K477))/(F477/60),0),"")</f>
        <v/>
      </c>
      <c r="W477" s="6">
        <f>IF(U477&lt;&gt;"",ROUND(N(K477)/U477*100,1),"")</f>
        <v/>
      </c>
    </row>
    <row r="478">
      <c r="A478" s="3" t="n"/>
      <c r="B478" s="4" t="n"/>
      <c r="C478" s="4" t="n"/>
      <c r="D478" s="5" t="n"/>
      <c r="E478" s="5" t="n"/>
      <c r="F478" s="6">
        <f>IF(AND(D478&lt;&gt;"",E478&lt;&gt;""),ROUND((E478-D478)*1440,0),"")</f>
        <v/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6">
        <f>IF(C478="착유장",기준값!$B$3,IF(C478="건유·육성우동",기준값!$B$2,""))</f>
        <v/>
      </c>
      <c r="V478" s="6">
        <f>IF(AND(F478&lt;&gt;"",F478&gt;0,U478&lt;&gt;""),ROUND((U478-N(K478))/(F478/60),0),"")</f>
        <v/>
      </c>
      <c r="W478" s="6">
        <f>IF(U478&lt;&gt;"",ROUND(N(K478)/U478*100,1),"")</f>
        <v/>
      </c>
    </row>
    <row r="479">
      <c r="A479" s="3" t="n"/>
      <c r="B479" s="4" t="n"/>
      <c r="C479" s="4" t="n"/>
      <c r="D479" s="5" t="n"/>
      <c r="E479" s="5" t="n"/>
      <c r="F479" s="6">
        <f>IF(AND(D479&lt;&gt;"",E479&lt;&gt;""),ROUND((E479-D479)*1440,0),"")</f>
        <v/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6">
        <f>IF(C479="착유장",기준값!$B$3,IF(C479="건유·육성우동",기준값!$B$2,""))</f>
        <v/>
      </c>
      <c r="V479" s="6">
        <f>IF(AND(F479&lt;&gt;"",F479&gt;0,U479&lt;&gt;""),ROUND((U479-N(K479))/(F479/60),0),"")</f>
        <v/>
      </c>
      <c r="W479" s="6">
        <f>IF(U479&lt;&gt;"",ROUND(N(K479)/U479*100,1),"")</f>
        <v/>
      </c>
    </row>
    <row r="480">
      <c r="A480" s="3" t="n"/>
      <c r="B480" s="4" t="n"/>
      <c r="C480" s="4" t="n"/>
      <c r="D480" s="5" t="n"/>
      <c r="E480" s="5" t="n"/>
      <c r="F480" s="6">
        <f>IF(AND(D480&lt;&gt;"",E480&lt;&gt;""),ROUND((E480-D480)*1440,0),"")</f>
        <v/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6">
        <f>IF(C480="착유장",기준값!$B$3,IF(C480="건유·육성우동",기준값!$B$2,""))</f>
        <v/>
      </c>
      <c r="V480" s="6">
        <f>IF(AND(F480&lt;&gt;"",F480&gt;0,U480&lt;&gt;""),ROUND((U480-N(K480))/(F480/60),0),"")</f>
        <v/>
      </c>
      <c r="W480" s="6">
        <f>IF(U480&lt;&gt;"",ROUND(N(K480)/U480*100,1),"")</f>
        <v/>
      </c>
    </row>
    <row r="481">
      <c r="A481" s="3" t="n"/>
      <c r="B481" s="4" t="n"/>
      <c r="C481" s="4" t="n"/>
      <c r="D481" s="5" t="n"/>
      <c r="E481" s="5" t="n"/>
      <c r="F481" s="6">
        <f>IF(AND(D481&lt;&gt;"",E481&lt;&gt;""),ROUND((E481-D481)*1440,0),"")</f>
        <v/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6">
        <f>IF(C481="착유장",기준값!$B$3,IF(C481="건유·육성우동",기준값!$B$2,""))</f>
        <v/>
      </c>
      <c r="V481" s="6">
        <f>IF(AND(F481&lt;&gt;"",F481&gt;0,U481&lt;&gt;""),ROUND((U481-N(K481))/(F481/60),0),"")</f>
        <v/>
      </c>
      <c r="W481" s="6">
        <f>IF(U481&lt;&gt;"",ROUND(N(K481)/U481*100,1),"")</f>
        <v/>
      </c>
    </row>
    <row r="482">
      <c r="A482" s="3" t="n"/>
      <c r="B482" s="4" t="n"/>
      <c r="C482" s="4" t="n"/>
      <c r="D482" s="5" t="n"/>
      <c r="E482" s="5" t="n"/>
      <c r="F482" s="6">
        <f>IF(AND(D482&lt;&gt;"",E482&lt;&gt;""),ROUND((E482-D482)*1440,0),"")</f>
        <v/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6">
        <f>IF(C482="착유장",기준값!$B$3,IF(C482="건유·육성우동",기준값!$B$2,""))</f>
        <v/>
      </c>
      <c r="V482" s="6">
        <f>IF(AND(F482&lt;&gt;"",F482&gt;0,U482&lt;&gt;""),ROUND((U482-N(K482))/(F482/60),0),"")</f>
        <v/>
      </c>
      <c r="W482" s="6">
        <f>IF(U482&lt;&gt;"",ROUND(N(K482)/U482*100,1),"")</f>
        <v/>
      </c>
    </row>
    <row r="483">
      <c r="A483" s="3" t="n"/>
      <c r="B483" s="4" t="n"/>
      <c r="C483" s="4" t="n"/>
      <c r="D483" s="5" t="n"/>
      <c r="E483" s="5" t="n"/>
      <c r="F483" s="6">
        <f>IF(AND(D483&lt;&gt;"",E483&lt;&gt;""),ROUND((E483-D483)*1440,0),"")</f>
        <v/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6">
        <f>IF(C483="착유장",기준값!$B$3,IF(C483="건유·육성우동",기준값!$B$2,""))</f>
        <v/>
      </c>
      <c r="V483" s="6">
        <f>IF(AND(F483&lt;&gt;"",F483&gt;0,U483&lt;&gt;""),ROUND((U483-N(K483))/(F483/60),0),"")</f>
        <v/>
      </c>
      <c r="W483" s="6">
        <f>IF(U483&lt;&gt;"",ROUND(N(K483)/U483*100,1),"")</f>
        <v/>
      </c>
    </row>
    <row r="484">
      <c r="A484" s="3" t="n"/>
      <c r="B484" s="4" t="n"/>
      <c r="C484" s="4" t="n"/>
      <c r="D484" s="5" t="n"/>
      <c r="E484" s="5" t="n"/>
      <c r="F484" s="6">
        <f>IF(AND(D484&lt;&gt;"",E484&lt;&gt;""),ROUND((E484-D484)*1440,0),"")</f>
        <v/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6">
        <f>IF(C484="착유장",기준값!$B$3,IF(C484="건유·육성우동",기준값!$B$2,""))</f>
        <v/>
      </c>
      <c r="V484" s="6">
        <f>IF(AND(F484&lt;&gt;"",F484&gt;0,U484&lt;&gt;""),ROUND((U484-N(K484))/(F484/60),0),"")</f>
        <v/>
      </c>
      <c r="W484" s="6">
        <f>IF(U484&lt;&gt;"",ROUND(N(K484)/U484*100,1),"")</f>
        <v/>
      </c>
    </row>
    <row r="485">
      <c r="A485" s="3" t="n"/>
      <c r="B485" s="4" t="n"/>
      <c r="C485" s="4" t="n"/>
      <c r="D485" s="5" t="n"/>
      <c r="E485" s="5" t="n"/>
      <c r="F485" s="6">
        <f>IF(AND(D485&lt;&gt;"",E485&lt;&gt;""),ROUND((E485-D485)*1440,0),"")</f>
        <v/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6">
        <f>IF(C485="착유장",기준값!$B$3,IF(C485="건유·육성우동",기준값!$B$2,""))</f>
        <v/>
      </c>
      <c r="V485" s="6">
        <f>IF(AND(F485&lt;&gt;"",F485&gt;0,U485&lt;&gt;""),ROUND((U485-N(K485))/(F485/60),0),"")</f>
        <v/>
      </c>
      <c r="W485" s="6">
        <f>IF(U485&lt;&gt;"",ROUND(N(K485)/U485*100,1),"")</f>
        <v/>
      </c>
    </row>
    <row r="486">
      <c r="A486" s="3" t="n"/>
      <c r="B486" s="4" t="n"/>
      <c r="C486" s="4" t="n"/>
      <c r="D486" s="5" t="n"/>
      <c r="E486" s="5" t="n"/>
      <c r="F486" s="6">
        <f>IF(AND(D486&lt;&gt;"",E486&lt;&gt;""),ROUND((E486-D486)*1440,0),"")</f>
        <v/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6">
        <f>IF(C486="착유장",기준값!$B$3,IF(C486="건유·육성우동",기준값!$B$2,""))</f>
        <v/>
      </c>
      <c r="V486" s="6">
        <f>IF(AND(F486&lt;&gt;"",F486&gt;0,U486&lt;&gt;""),ROUND((U486-N(K486))/(F486/60),0),"")</f>
        <v/>
      </c>
      <c r="W486" s="6">
        <f>IF(U486&lt;&gt;"",ROUND(N(K486)/U486*100,1),"")</f>
        <v/>
      </c>
    </row>
    <row r="487">
      <c r="A487" s="3" t="n"/>
      <c r="B487" s="4" t="n"/>
      <c r="C487" s="4" t="n"/>
      <c r="D487" s="5" t="n"/>
      <c r="E487" s="5" t="n"/>
      <c r="F487" s="6">
        <f>IF(AND(D487&lt;&gt;"",E487&lt;&gt;""),ROUND((E487-D487)*1440,0),"")</f>
        <v/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6">
        <f>IF(C487="착유장",기준값!$B$3,IF(C487="건유·육성우동",기준값!$B$2,""))</f>
        <v/>
      </c>
      <c r="V487" s="6">
        <f>IF(AND(F487&lt;&gt;"",F487&gt;0,U487&lt;&gt;""),ROUND((U487-N(K487))/(F487/60),0),"")</f>
        <v/>
      </c>
      <c r="W487" s="6">
        <f>IF(U487&lt;&gt;"",ROUND(N(K487)/U487*100,1),"")</f>
        <v/>
      </c>
    </row>
    <row r="488">
      <c r="A488" s="3" t="n"/>
      <c r="B488" s="4" t="n"/>
      <c r="C488" s="4" t="n"/>
      <c r="D488" s="5" t="n"/>
      <c r="E488" s="5" t="n"/>
      <c r="F488" s="6">
        <f>IF(AND(D488&lt;&gt;"",E488&lt;&gt;""),ROUND((E488-D488)*1440,0),"")</f>
        <v/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6">
        <f>IF(C488="착유장",기준값!$B$3,IF(C488="건유·육성우동",기준값!$B$2,""))</f>
        <v/>
      </c>
      <c r="V488" s="6">
        <f>IF(AND(F488&lt;&gt;"",F488&gt;0,U488&lt;&gt;""),ROUND((U488-N(K488))/(F488/60),0),"")</f>
        <v/>
      </c>
      <c r="W488" s="6">
        <f>IF(U488&lt;&gt;"",ROUND(N(K488)/U488*100,1),"")</f>
        <v/>
      </c>
    </row>
    <row r="489">
      <c r="A489" s="3" t="n"/>
      <c r="B489" s="4" t="n"/>
      <c r="C489" s="4" t="n"/>
      <c r="D489" s="5" t="n"/>
      <c r="E489" s="5" t="n"/>
      <c r="F489" s="6">
        <f>IF(AND(D489&lt;&gt;"",E489&lt;&gt;""),ROUND((E489-D489)*1440,0),"")</f>
        <v/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6">
        <f>IF(C489="착유장",기준값!$B$3,IF(C489="건유·육성우동",기준값!$B$2,""))</f>
        <v/>
      </c>
      <c r="V489" s="6">
        <f>IF(AND(F489&lt;&gt;"",F489&gt;0,U489&lt;&gt;""),ROUND((U489-N(K489))/(F489/60),0),"")</f>
        <v/>
      </c>
      <c r="W489" s="6">
        <f>IF(U489&lt;&gt;"",ROUND(N(K489)/U489*100,1),"")</f>
        <v/>
      </c>
    </row>
    <row r="490">
      <c r="A490" s="3" t="n"/>
      <c r="B490" s="4" t="n"/>
      <c r="C490" s="4" t="n"/>
      <c r="D490" s="5" t="n"/>
      <c r="E490" s="5" t="n"/>
      <c r="F490" s="6">
        <f>IF(AND(D490&lt;&gt;"",E490&lt;&gt;""),ROUND((E490-D490)*1440,0),"")</f>
        <v/>
      </c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6">
        <f>IF(C490="착유장",기준값!$B$3,IF(C490="건유·육성우동",기준값!$B$2,""))</f>
        <v/>
      </c>
      <c r="V490" s="6">
        <f>IF(AND(F490&lt;&gt;"",F490&gt;0,U490&lt;&gt;""),ROUND((U490-N(K490))/(F490/60),0),"")</f>
        <v/>
      </c>
      <c r="W490" s="6">
        <f>IF(U490&lt;&gt;"",ROUND(N(K490)/U490*100,1),"")</f>
        <v/>
      </c>
    </row>
    <row r="491">
      <c r="A491" s="3" t="n"/>
      <c r="B491" s="4" t="n"/>
      <c r="C491" s="4" t="n"/>
      <c r="D491" s="5" t="n"/>
      <c r="E491" s="5" t="n"/>
      <c r="F491" s="6">
        <f>IF(AND(D491&lt;&gt;"",E491&lt;&gt;""),ROUND((E491-D491)*1440,0),"")</f>
        <v/>
      </c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6">
        <f>IF(C491="착유장",기준값!$B$3,IF(C491="건유·육성우동",기준값!$B$2,""))</f>
        <v/>
      </c>
      <c r="V491" s="6">
        <f>IF(AND(F491&lt;&gt;"",F491&gt;0,U491&lt;&gt;""),ROUND((U491-N(K491))/(F491/60),0),"")</f>
        <v/>
      </c>
      <c r="W491" s="6">
        <f>IF(U491&lt;&gt;"",ROUND(N(K491)/U491*100,1),"")</f>
        <v/>
      </c>
    </row>
    <row r="492">
      <c r="A492" s="3" t="n"/>
      <c r="B492" s="4" t="n"/>
      <c r="C492" s="4" t="n"/>
      <c r="D492" s="5" t="n"/>
      <c r="E492" s="5" t="n"/>
      <c r="F492" s="6">
        <f>IF(AND(D492&lt;&gt;"",E492&lt;&gt;""),ROUND((E492-D492)*1440,0),"")</f>
        <v/>
      </c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6">
        <f>IF(C492="착유장",기준값!$B$3,IF(C492="건유·육성우동",기준값!$B$2,""))</f>
        <v/>
      </c>
      <c r="V492" s="6">
        <f>IF(AND(F492&lt;&gt;"",F492&gt;0,U492&lt;&gt;""),ROUND((U492-N(K492))/(F492/60),0),"")</f>
        <v/>
      </c>
      <c r="W492" s="6">
        <f>IF(U492&lt;&gt;"",ROUND(N(K492)/U492*100,1),"")</f>
        <v/>
      </c>
    </row>
    <row r="493">
      <c r="A493" s="3" t="n"/>
      <c r="B493" s="4" t="n"/>
      <c r="C493" s="4" t="n"/>
      <c r="D493" s="5" t="n"/>
      <c r="E493" s="5" t="n"/>
      <c r="F493" s="6">
        <f>IF(AND(D493&lt;&gt;"",E493&lt;&gt;""),ROUND((E493-D493)*1440,0),"")</f>
        <v/>
      </c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6">
        <f>IF(C493="착유장",기준값!$B$3,IF(C493="건유·육성우동",기준값!$B$2,""))</f>
        <v/>
      </c>
      <c r="V493" s="6">
        <f>IF(AND(F493&lt;&gt;"",F493&gt;0,U493&lt;&gt;""),ROUND((U493-N(K493))/(F493/60),0),"")</f>
        <v/>
      </c>
      <c r="W493" s="6">
        <f>IF(U493&lt;&gt;"",ROUND(N(K493)/U493*100,1),"")</f>
        <v/>
      </c>
    </row>
    <row r="494">
      <c r="A494" s="3" t="n"/>
      <c r="B494" s="4" t="n"/>
      <c r="C494" s="4" t="n"/>
      <c r="D494" s="5" t="n"/>
      <c r="E494" s="5" t="n"/>
      <c r="F494" s="6">
        <f>IF(AND(D494&lt;&gt;"",E494&lt;&gt;""),ROUND((E494-D494)*1440,0),"")</f>
        <v/>
      </c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6">
        <f>IF(C494="착유장",기준값!$B$3,IF(C494="건유·육성우동",기준값!$B$2,""))</f>
        <v/>
      </c>
      <c r="V494" s="6">
        <f>IF(AND(F494&lt;&gt;"",F494&gt;0,U494&lt;&gt;""),ROUND((U494-N(K494))/(F494/60),0),"")</f>
        <v/>
      </c>
      <c r="W494" s="6">
        <f>IF(U494&lt;&gt;"",ROUND(N(K494)/U494*100,1),"")</f>
        <v/>
      </c>
    </row>
    <row r="495">
      <c r="A495" s="3" t="n"/>
      <c r="B495" s="4" t="n"/>
      <c r="C495" s="4" t="n"/>
      <c r="D495" s="5" t="n"/>
      <c r="E495" s="5" t="n"/>
      <c r="F495" s="6">
        <f>IF(AND(D495&lt;&gt;"",E495&lt;&gt;""),ROUND((E495-D495)*1440,0),"")</f>
        <v/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6">
        <f>IF(C495="착유장",기준값!$B$3,IF(C495="건유·육성우동",기준값!$B$2,""))</f>
        <v/>
      </c>
      <c r="V495" s="6">
        <f>IF(AND(F495&lt;&gt;"",F495&gt;0,U495&lt;&gt;""),ROUND((U495-N(K495))/(F495/60),0),"")</f>
        <v/>
      </c>
      <c r="W495" s="6">
        <f>IF(U495&lt;&gt;"",ROUND(N(K495)/U495*100,1),"")</f>
        <v/>
      </c>
    </row>
    <row r="496">
      <c r="A496" s="3" t="n"/>
      <c r="B496" s="4" t="n"/>
      <c r="C496" s="4" t="n"/>
      <c r="D496" s="5" t="n"/>
      <c r="E496" s="5" t="n"/>
      <c r="F496" s="6">
        <f>IF(AND(D496&lt;&gt;"",E496&lt;&gt;""),ROUND((E496-D496)*1440,0),"")</f>
        <v/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6">
        <f>IF(C496="착유장",기준값!$B$3,IF(C496="건유·육성우동",기준값!$B$2,""))</f>
        <v/>
      </c>
      <c r="V496" s="6">
        <f>IF(AND(F496&lt;&gt;"",F496&gt;0,U496&lt;&gt;""),ROUND((U496-N(K496))/(F496/60),0),"")</f>
        <v/>
      </c>
      <c r="W496" s="6">
        <f>IF(U496&lt;&gt;"",ROUND(N(K496)/U496*100,1),"")</f>
        <v/>
      </c>
    </row>
    <row r="497">
      <c r="A497" s="3" t="n"/>
      <c r="B497" s="4" t="n"/>
      <c r="C497" s="4" t="n"/>
      <c r="D497" s="5" t="n"/>
      <c r="E497" s="5" t="n"/>
      <c r="F497" s="6">
        <f>IF(AND(D497&lt;&gt;"",E497&lt;&gt;""),ROUND((E497-D497)*1440,0),"")</f>
        <v/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6">
        <f>IF(C497="착유장",기준값!$B$3,IF(C497="건유·육성우동",기준값!$B$2,""))</f>
        <v/>
      </c>
      <c r="V497" s="6">
        <f>IF(AND(F497&lt;&gt;"",F497&gt;0,U497&lt;&gt;""),ROUND((U497-N(K497))/(F497/60),0),"")</f>
        <v/>
      </c>
      <c r="W497" s="6">
        <f>IF(U497&lt;&gt;"",ROUND(N(K497)/U497*100,1),"")</f>
        <v/>
      </c>
    </row>
    <row r="498">
      <c r="A498" s="3" t="n"/>
      <c r="B498" s="4" t="n"/>
      <c r="C498" s="4" t="n"/>
      <c r="D498" s="5" t="n"/>
      <c r="E498" s="5" t="n"/>
      <c r="F498" s="6">
        <f>IF(AND(D498&lt;&gt;"",E498&lt;&gt;""),ROUND((E498-D498)*1440,0),"")</f>
        <v/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6">
        <f>IF(C498="착유장",기준값!$B$3,IF(C498="건유·육성우동",기준값!$B$2,""))</f>
        <v/>
      </c>
      <c r="V498" s="6">
        <f>IF(AND(F498&lt;&gt;"",F498&gt;0,U498&lt;&gt;""),ROUND((U498-N(K498))/(F498/60),0),"")</f>
        <v/>
      </c>
      <c r="W498" s="6">
        <f>IF(U498&lt;&gt;"",ROUND(N(K498)/U498*100,1),"")</f>
        <v/>
      </c>
    </row>
    <row r="499">
      <c r="A499" s="3" t="n"/>
      <c r="B499" s="4" t="n"/>
      <c r="C499" s="4" t="n"/>
      <c r="D499" s="5" t="n"/>
      <c r="E499" s="5" t="n"/>
      <c r="F499" s="6">
        <f>IF(AND(D499&lt;&gt;"",E499&lt;&gt;""),ROUND((E499-D499)*1440,0),"")</f>
        <v/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6">
        <f>IF(C499="착유장",기준값!$B$3,IF(C499="건유·육성우동",기준값!$B$2,""))</f>
        <v/>
      </c>
      <c r="V499" s="6">
        <f>IF(AND(F499&lt;&gt;"",F499&gt;0,U499&lt;&gt;""),ROUND((U499-N(K499))/(F499/60),0),"")</f>
        <v/>
      </c>
      <c r="W499" s="6">
        <f>IF(U499&lt;&gt;"",ROUND(N(K499)/U499*100,1),"")</f>
        <v/>
      </c>
    </row>
    <row r="500">
      <c r="A500" s="3" t="n"/>
      <c r="B500" s="4" t="n"/>
      <c r="C500" s="4" t="n"/>
      <c r="D500" s="5" t="n"/>
      <c r="E500" s="5" t="n"/>
      <c r="F500" s="6">
        <f>IF(AND(D500&lt;&gt;"",E500&lt;&gt;""),ROUND((E500-D500)*1440,0),"")</f>
        <v/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6">
        <f>IF(C500="착유장",기준값!$B$3,IF(C500="건유·육성우동",기준값!$B$2,""))</f>
        <v/>
      </c>
      <c r="V500" s="6">
        <f>IF(AND(F500&lt;&gt;"",F500&gt;0,U500&lt;&gt;""),ROUND((U500-N(K500))/(F500/60),0),"")</f>
        <v/>
      </c>
      <c r="W500" s="6">
        <f>IF(U500&lt;&gt;"",ROUND(N(K500)/U500*100,1),"")</f>
        <v/>
      </c>
    </row>
    <row r="501">
      <c r="A501" s="3" t="n"/>
      <c r="B501" s="4" t="n"/>
      <c r="C501" s="4" t="n"/>
      <c r="D501" s="5" t="n"/>
      <c r="E501" s="5" t="n"/>
      <c r="F501" s="6">
        <f>IF(AND(D501&lt;&gt;"",E501&lt;&gt;""),ROUND((E501-D501)*1440,0),"")</f>
        <v/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6">
        <f>IF(C501="착유장",기준값!$B$3,IF(C501="건유·육성우동",기준값!$B$2,""))</f>
        <v/>
      </c>
      <c r="V501" s="6">
        <f>IF(AND(F501&lt;&gt;"",F501&gt;0,U501&lt;&gt;""),ROUND((U501-N(K501))/(F501/60),0),"")</f>
        <v/>
      </c>
      <c r="W501" s="6">
        <f>IF(U501&lt;&gt;"",ROUND(N(K501)/U501*100,1),"")</f>
        <v/>
      </c>
    </row>
    <row r="502">
      <c r="A502" s="3" t="n"/>
      <c r="B502" s="4" t="n"/>
      <c r="C502" s="4" t="n"/>
      <c r="D502" s="5" t="n"/>
      <c r="E502" s="5" t="n"/>
      <c r="F502" s="6">
        <f>IF(AND(D502&lt;&gt;"",E502&lt;&gt;""),ROUND((E502-D502)*1440,0),"")</f>
        <v/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6">
        <f>IF(C502="착유장",기준값!$B$3,IF(C502="건유·육성우동",기준값!$B$2,""))</f>
        <v/>
      </c>
      <c r="V502" s="6">
        <f>IF(AND(F502&lt;&gt;"",F502&gt;0,U502&lt;&gt;""),ROUND((U502-N(K502))/(F502/60),0),"")</f>
        <v/>
      </c>
      <c r="W502" s="6">
        <f>IF(U502&lt;&gt;"",ROUND(N(K502)/U502*100,1),"")</f>
        <v/>
      </c>
    </row>
    <row r="503">
      <c r="A503" s="3" t="n"/>
      <c r="B503" s="4" t="n"/>
      <c r="C503" s="4" t="n"/>
      <c r="D503" s="5" t="n"/>
      <c r="E503" s="5" t="n"/>
      <c r="F503" s="6">
        <f>IF(AND(D503&lt;&gt;"",E503&lt;&gt;""),ROUND((E503-D503)*1440,0),"")</f>
        <v/>
      </c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6">
        <f>IF(C503="착유장",기준값!$B$3,IF(C503="건유·육성우동",기준값!$B$2,""))</f>
        <v/>
      </c>
      <c r="V503" s="6">
        <f>IF(AND(F503&lt;&gt;"",F503&gt;0,U503&lt;&gt;""),ROUND((U503-N(K503))/(F503/60),0),"")</f>
        <v/>
      </c>
      <c r="W503" s="6">
        <f>IF(U503&lt;&gt;"",ROUND(N(K503)/U503*100,1),"")</f>
        <v/>
      </c>
    </row>
    <row r="504">
      <c r="A504" s="3" t="n"/>
      <c r="B504" s="4" t="n"/>
      <c r="C504" s="4" t="n"/>
      <c r="D504" s="5" t="n"/>
      <c r="E504" s="5" t="n"/>
      <c r="F504" s="6">
        <f>IF(AND(D504&lt;&gt;"",E504&lt;&gt;""),ROUND((E504-D504)*1440,0),"")</f>
        <v/>
      </c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6">
        <f>IF(C504="착유장",기준값!$B$3,IF(C504="건유·육성우동",기준값!$B$2,""))</f>
        <v/>
      </c>
      <c r="V504" s="6">
        <f>IF(AND(F504&lt;&gt;"",F504&gt;0,U504&lt;&gt;""),ROUND((U504-N(K504))/(F504/60),0),"")</f>
        <v/>
      </c>
      <c r="W504" s="6">
        <f>IF(U504&lt;&gt;"",ROUND(N(K504)/U504*100,1),"")</f>
        <v/>
      </c>
    </row>
    <row r="505">
      <c r="A505" s="3" t="n"/>
      <c r="B505" s="4" t="n"/>
      <c r="C505" s="4" t="n"/>
      <c r="D505" s="5" t="n"/>
      <c r="E505" s="5" t="n"/>
      <c r="F505" s="6">
        <f>IF(AND(D505&lt;&gt;"",E505&lt;&gt;""),ROUND((E505-D505)*1440,0),"")</f>
        <v/>
      </c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6">
        <f>IF(C505="착유장",기준값!$B$3,IF(C505="건유·육성우동",기준값!$B$2,""))</f>
        <v/>
      </c>
      <c r="V505" s="6">
        <f>IF(AND(F505&lt;&gt;"",F505&gt;0,U505&lt;&gt;""),ROUND((U505-N(K505))/(F505/60),0),"")</f>
        <v/>
      </c>
      <c r="W505" s="6">
        <f>IF(U505&lt;&gt;"",ROUND(N(K505)/U505*100,1),"")</f>
        <v/>
      </c>
    </row>
    <row r="506">
      <c r="A506" s="3" t="n"/>
      <c r="B506" s="4" t="n"/>
      <c r="C506" s="4" t="n"/>
      <c r="D506" s="5" t="n"/>
      <c r="E506" s="5" t="n"/>
      <c r="F506" s="6">
        <f>IF(AND(D506&lt;&gt;"",E506&lt;&gt;""),ROUND((E506-D506)*1440,0),"")</f>
        <v/>
      </c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6">
        <f>IF(C506="착유장",기준값!$B$3,IF(C506="건유·육성우동",기준값!$B$2,""))</f>
        <v/>
      </c>
      <c r="V506" s="6">
        <f>IF(AND(F506&lt;&gt;"",F506&gt;0,U506&lt;&gt;""),ROUND((U506-N(K506))/(F506/60),0),"")</f>
        <v/>
      </c>
      <c r="W506" s="6">
        <f>IF(U506&lt;&gt;"",ROUND(N(K506)/U506*100,1),"")</f>
        <v/>
      </c>
    </row>
    <row r="507">
      <c r="A507" s="3" t="n"/>
      <c r="B507" s="4" t="n"/>
      <c r="C507" s="4" t="n"/>
      <c r="D507" s="5" t="n"/>
      <c r="E507" s="5" t="n"/>
      <c r="F507" s="6">
        <f>IF(AND(D507&lt;&gt;"",E507&lt;&gt;""),ROUND((E507-D507)*1440,0),"")</f>
        <v/>
      </c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6">
        <f>IF(C507="착유장",기준값!$B$3,IF(C507="건유·육성우동",기준값!$B$2,""))</f>
        <v/>
      </c>
      <c r="V507" s="6">
        <f>IF(AND(F507&lt;&gt;"",F507&gt;0,U507&lt;&gt;""),ROUND((U507-N(K507))/(F507/60),0),"")</f>
        <v/>
      </c>
      <c r="W507" s="6">
        <f>IF(U507&lt;&gt;"",ROUND(N(K507)/U507*100,1),"")</f>
        <v/>
      </c>
    </row>
    <row r="508">
      <c r="A508" s="3" t="n"/>
      <c r="B508" s="4" t="n"/>
      <c r="C508" s="4" t="n"/>
      <c r="D508" s="5" t="n"/>
      <c r="E508" s="5" t="n"/>
      <c r="F508" s="6">
        <f>IF(AND(D508&lt;&gt;"",E508&lt;&gt;""),ROUND((E508-D508)*1440,0),"")</f>
        <v/>
      </c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6">
        <f>IF(C508="착유장",기준값!$B$3,IF(C508="건유·육성우동",기준값!$B$2,""))</f>
        <v/>
      </c>
      <c r="V508" s="6">
        <f>IF(AND(F508&lt;&gt;"",F508&gt;0,U508&lt;&gt;""),ROUND((U508-N(K508))/(F508/60),0),"")</f>
        <v/>
      </c>
      <c r="W508" s="6">
        <f>IF(U508&lt;&gt;"",ROUND(N(K508)/U508*100,1),"")</f>
        <v/>
      </c>
    </row>
    <row r="509">
      <c r="A509" s="3" t="n"/>
      <c r="B509" s="4" t="n"/>
      <c r="C509" s="4" t="n"/>
      <c r="D509" s="5" t="n"/>
      <c r="E509" s="5" t="n"/>
      <c r="F509" s="6">
        <f>IF(AND(D509&lt;&gt;"",E509&lt;&gt;""),ROUND((E509-D509)*1440,0),"")</f>
        <v/>
      </c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6">
        <f>IF(C509="착유장",기준값!$B$3,IF(C509="건유·육성우동",기준값!$B$2,""))</f>
        <v/>
      </c>
      <c r="V509" s="6">
        <f>IF(AND(F509&lt;&gt;"",F509&gt;0,U509&lt;&gt;""),ROUND((U509-N(K509))/(F509/60),0),"")</f>
        <v/>
      </c>
      <c r="W509" s="6">
        <f>IF(U509&lt;&gt;"",ROUND(N(K509)/U509*100,1),"")</f>
        <v/>
      </c>
    </row>
    <row r="510">
      <c r="A510" s="3" t="n"/>
      <c r="B510" s="4" t="n"/>
      <c r="C510" s="4" t="n"/>
      <c r="D510" s="5" t="n"/>
      <c r="E510" s="5" t="n"/>
      <c r="F510" s="6">
        <f>IF(AND(D510&lt;&gt;"",E510&lt;&gt;""),ROUND((E510-D510)*1440,0),"")</f>
        <v/>
      </c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6">
        <f>IF(C510="착유장",기준값!$B$3,IF(C510="건유·육성우동",기준값!$B$2,""))</f>
        <v/>
      </c>
      <c r="V510" s="6">
        <f>IF(AND(F510&lt;&gt;"",F510&gt;0,U510&lt;&gt;""),ROUND((U510-N(K510))/(F510/60),0),"")</f>
        <v/>
      </c>
      <c r="W510" s="6">
        <f>IF(U510&lt;&gt;"",ROUND(N(K510)/U510*100,1),"")</f>
        <v/>
      </c>
    </row>
    <row r="511">
      <c r="A511" s="3" t="n"/>
      <c r="B511" s="4" t="n"/>
      <c r="C511" s="4" t="n"/>
      <c r="D511" s="5" t="n"/>
      <c r="E511" s="5" t="n"/>
      <c r="F511" s="6">
        <f>IF(AND(D511&lt;&gt;"",E511&lt;&gt;""),ROUND((E511-D511)*1440,0),"")</f>
        <v/>
      </c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6">
        <f>IF(C511="착유장",기준값!$B$3,IF(C511="건유·육성우동",기준값!$B$2,""))</f>
        <v/>
      </c>
      <c r="V511" s="6">
        <f>IF(AND(F511&lt;&gt;"",F511&gt;0,U511&lt;&gt;""),ROUND((U511-N(K511))/(F511/60),0),"")</f>
        <v/>
      </c>
      <c r="W511" s="6">
        <f>IF(U511&lt;&gt;"",ROUND(N(K511)/U511*100,1),"")</f>
        <v/>
      </c>
    </row>
    <row r="512">
      <c r="A512" s="3" t="n"/>
      <c r="B512" s="4" t="n"/>
      <c r="C512" s="4" t="n"/>
      <c r="D512" s="5" t="n"/>
      <c r="E512" s="5" t="n"/>
      <c r="F512" s="6">
        <f>IF(AND(D512&lt;&gt;"",E512&lt;&gt;""),ROUND((E512-D512)*1440,0),"")</f>
        <v/>
      </c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6">
        <f>IF(C512="착유장",기준값!$B$3,IF(C512="건유·육성우동",기준값!$B$2,""))</f>
        <v/>
      </c>
      <c r="V512" s="6">
        <f>IF(AND(F512&lt;&gt;"",F512&gt;0,U512&lt;&gt;""),ROUND((U512-N(K512))/(F512/60),0),"")</f>
        <v/>
      </c>
      <c r="W512" s="6">
        <f>IF(U512&lt;&gt;"",ROUND(N(K512)/U512*100,1),"")</f>
        <v/>
      </c>
    </row>
    <row r="513">
      <c r="A513" s="3" t="n"/>
      <c r="B513" s="4" t="n"/>
      <c r="C513" s="4" t="n"/>
      <c r="D513" s="5" t="n"/>
      <c r="E513" s="5" t="n"/>
      <c r="F513" s="6">
        <f>IF(AND(D513&lt;&gt;"",E513&lt;&gt;""),ROUND((E513-D513)*1440,0),"")</f>
        <v/>
      </c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6">
        <f>IF(C513="착유장",기준값!$B$3,IF(C513="건유·육성우동",기준값!$B$2,""))</f>
        <v/>
      </c>
      <c r="V513" s="6">
        <f>IF(AND(F513&lt;&gt;"",F513&gt;0,U513&lt;&gt;""),ROUND((U513-N(K513))/(F513/60),0),"")</f>
        <v/>
      </c>
      <c r="W513" s="6">
        <f>IF(U513&lt;&gt;"",ROUND(N(K513)/U513*100,1),"")</f>
        <v/>
      </c>
    </row>
    <row r="514">
      <c r="A514" s="3" t="n"/>
      <c r="B514" s="4" t="n"/>
      <c r="C514" s="4" t="n"/>
      <c r="D514" s="5" t="n"/>
      <c r="E514" s="5" t="n"/>
      <c r="F514" s="6">
        <f>IF(AND(D514&lt;&gt;"",E514&lt;&gt;""),ROUND((E514-D514)*1440,0),"")</f>
        <v/>
      </c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6">
        <f>IF(C514="착유장",기준값!$B$3,IF(C514="건유·육성우동",기준값!$B$2,""))</f>
        <v/>
      </c>
      <c r="V514" s="6">
        <f>IF(AND(F514&lt;&gt;"",F514&gt;0,U514&lt;&gt;""),ROUND((U514-N(K514))/(F514/60),0),"")</f>
        <v/>
      </c>
      <c r="W514" s="6">
        <f>IF(U514&lt;&gt;"",ROUND(N(K514)/U514*100,1),"")</f>
        <v/>
      </c>
    </row>
    <row r="515">
      <c r="A515" s="3" t="n"/>
      <c r="B515" s="4" t="n"/>
      <c r="C515" s="4" t="n"/>
      <c r="D515" s="5" t="n"/>
      <c r="E515" s="5" t="n"/>
      <c r="F515" s="6">
        <f>IF(AND(D515&lt;&gt;"",E515&lt;&gt;""),ROUND((E515-D515)*1440,0),"")</f>
        <v/>
      </c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6">
        <f>IF(C515="착유장",기준값!$B$3,IF(C515="건유·육성우동",기준값!$B$2,""))</f>
        <v/>
      </c>
      <c r="V515" s="6">
        <f>IF(AND(F515&lt;&gt;"",F515&gt;0,U515&lt;&gt;""),ROUND((U515-N(K515))/(F515/60),0),"")</f>
        <v/>
      </c>
      <c r="W515" s="6">
        <f>IF(U515&lt;&gt;"",ROUND(N(K515)/U515*100,1),"")</f>
        <v/>
      </c>
    </row>
    <row r="516">
      <c r="A516" s="3" t="n"/>
      <c r="B516" s="4" t="n"/>
      <c r="C516" s="4" t="n"/>
      <c r="D516" s="5" t="n"/>
      <c r="E516" s="5" t="n"/>
      <c r="F516" s="6">
        <f>IF(AND(D516&lt;&gt;"",E516&lt;&gt;""),ROUND((E516-D516)*1440,0),"")</f>
        <v/>
      </c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6">
        <f>IF(C516="착유장",기준값!$B$3,IF(C516="건유·육성우동",기준값!$B$2,""))</f>
        <v/>
      </c>
      <c r="V516" s="6">
        <f>IF(AND(F516&lt;&gt;"",F516&gt;0,U516&lt;&gt;""),ROUND((U516-N(K516))/(F516/60),0),"")</f>
        <v/>
      </c>
      <c r="W516" s="6">
        <f>IF(U516&lt;&gt;"",ROUND(N(K516)/U516*100,1),"")</f>
        <v/>
      </c>
    </row>
    <row r="517">
      <c r="A517" s="3" t="n"/>
      <c r="B517" s="4" t="n"/>
      <c r="C517" s="4" t="n"/>
      <c r="D517" s="5" t="n"/>
      <c r="E517" s="5" t="n"/>
      <c r="F517" s="6">
        <f>IF(AND(D517&lt;&gt;"",E517&lt;&gt;""),ROUND((E517-D517)*1440,0),"")</f>
        <v/>
      </c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6">
        <f>IF(C517="착유장",기준값!$B$3,IF(C517="건유·육성우동",기준값!$B$2,""))</f>
        <v/>
      </c>
      <c r="V517" s="6">
        <f>IF(AND(F517&lt;&gt;"",F517&gt;0,U517&lt;&gt;""),ROUND((U517-N(K517))/(F517/60),0),"")</f>
        <v/>
      </c>
      <c r="W517" s="6">
        <f>IF(U517&lt;&gt;"",ROUND(N(K517)/U517*100,1),"")</f>
        <v/>
      </c>
    </row>
    <row r="518">
      <c r="A518" s="3" t="n"/>
      <c r="B518" s="4" t="n"/>
      <c r="C518" s="4" t="n"/>
      <c r="D518" s="5" t="n"/>
      <c r="E518" s="5" t="n"/>
      <c r="F518" s="6">
        <f>IF(AND(D518&lt;&gt;"",E518&lt;&gt;""),ROUND((E518-D518)*1440,0),"")</f>
        <v/>
      </c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6">
        <f>IF(C518="착유장",기준값!$B$3,IF(C518="건유·육성우동",기준값!$B$2,""))</f>
        <v/>
      </c>
      <c r="V518" s="6">
        <f>IF(AND(F518&lt;&gt;"",F518&gt;0,U518&lt;&gt;""),ROUND((U518-N(K518))/(F518/60),0),"")</f>
        <v/>
      </c>
      <c r="W518" s="6">
        <f>IF(U518&lt;&gt;"",ROUND(N(K518)/U518*100,1),"")</f>
        <v/>
      </c>
    </row>
    <row r="519">
      <c r="A519" s="3" t="n"/>
      <c r="B519" s="4" t="n"/>
      <c r="C519" s="4" t="n"/>
      <c r="D519" s="5" t="n"/>
      <c r="E519" s="5" t="n"/>
      <c r="F519" s="6">
        <f>IF(AND(D519&lt;&gt;"",E519&lt;&gt;""),ROUND((E519-D519)*1440,0),"")</f>
        <v/>
      </c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6">
        <f>IF(C519="착유장",기준값!$B$3,IF(C519="건유·육성우동",기준값!$B$2,""))</f>
        <v/>
      </c>
      <c r="V519" s="6">
        <f>IF(AND(F519&lt;&gt;"",F519&gt;0,U519&lt;&gt;""),ROUND((U519-N(K519))/(F519/60),0),"")</f>
        <v/>
      </c>
      <c r="W519" s="6">
        <f>IF(U519&lt;&gt;"",ROUND(N(K519)/U519*100,1),"")</f>
        <v/>
      </c>
    </row>
    <row r="520">
      <c r="A520" s="3" t="n"/>
      <c r="B520" s="4" t="n"/>
      <c r="C520" s="4" t="n"/>
      <c r="D520" s="5" t="n"/>
      <c r="E520" s="5" t="n"/>
      <c r="F520" s="6">
        <f>IF(AND(D520&lt;&gt;"",E520&lt;&gt;""),ROUND((E520-D520)*1440,0),"")</f>
        <v/>
      </c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6">
        <f>IF(C520="착유장",기준값!$B$3,IF(C520="건유·육성우동",기준값!$B$2,""))</f>
        <v/>
      </c>
      <c r="V520" s="6">
        <f>IF(AND(F520&lt;&gt;"",F520&gt;0,U520&lt;&gt;""),ROUND((U520-N(K520))/(F520/60),0),"")</f>
        <v/>
      </c>
      <c r="W520" s="6">
        <f>IF(U520&lt;&gt;"",ROUND(N(K520)/U520*100,1),"")</f>
        <v/>
      </c>
    </row>
    <row r="521">
      <c r="A521" s="3" t="n"/>
      <c r="B521" s="4" t="n"/>
      <c r="C521" s="4" t="n"/>
      <c r="D521" s="5" t="n"/>
      <c r="E521" s="5" t="n"/>
      <c r="F521" s="6">
        <f>IF(AND(D521&lt;&gt;"",E521&lt;&gt;""),ROUND((E521-D521)*1440,0),"")</f>
        <v/>
      </c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6">
        <f>IF(C521="착유장",기준값!$B$3,IF(C521="건유·육성우동",기준값!$B$2,""))</f>
        <v/>
      </c>
      <c r="V521" s="6">
        <f>IF(AND(F521&lt;&gt;"",F521&gt;0,U521&lt;&gt;""),ROUND((U521-N(K521))/(F521/60),0),"")</f>
        <v/>
      </c>
      <c r="W521" s="6">
        <f>IF(U521&lt;&gt;"",ROUND(N(K521)/U521*100,1),"")</f>
        <v/>
      </c>
    </row>
    <row r="522">
      <c r="A522" s="3" t="n"/>
      <c r="B522" s="4" t="n"/>
      <c r="C522" s="4" t="n"/>
      <c r="D522" s="5" t="n"/>
      <c r="E522" s="5" t="n"/>
      <c r="F522" s="6">
        <f>IF(AND(D522&lt;&gt;"",E522&lt;&gt;""),ROUND((E522-D522)*1440,0),"")</f>
        <v/>
      </c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6">
        <f>IF(C522="착유장",기준값!$B$3,IF(C522="건유·육성우동",기준값!$B$2,""))</f>
        <v/>
      </c>
      <c r="V522" s="6">
        <f>IF(AND(F522&lt;&gt;"",F522&gt;0,U522&lt;&gt;""),ROUND((U522-N(K522))/(F522/60),0),"")</f>
        <v/>
      </c>
      <c r="W522" s="6">
        <f>IF(U522&lt;&gt;"",ROUND(N(K522)/U522*100,1),"")</f>
        <v/>
      </c>
    </row>
    <row r="523">
      <c r="A523" s="3" t="n"/>
      <c r="B523" s="4" t="n"/>
      <c r="C523" s="4" t="n"/>
      <c r="D523" s="5" t="n"/>
      <c r="E523" s="5" t="n"/>
      <c r="F523" s="6">
        <f>IF(AND(D523&lt;&gt;"",E523&lt;&gt;""),ROUND((E523-D523)*1440,0),"")</f>
        <v/>
      </c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6">
        <f>IF(C523="착유장",기준값!$B$3,IF(C523="건유·육성우동",기준값!$B$2,""))</f>
        <v/>
      </c>
      <c r="V523" s="6">
        <f>IF(AND(F523&lt;&gt;"",F523&gt;0,U523&lt;&gt;""),ROUND((U523-N(K523))/(F523/60),0),"")</f>
        <v/>
      </c>
      <c r="W523" s="6">
        <f>IF(U523&lt;&gt;"",ROUND(N(K523)/U523*100,1),"")</f>
        <v/>
      </c>
    </row>
    <row r="524">
      <c r="A524" s="3" t="n"/>
      <c r="B524" s="4" t="n"/>
      <c r="C524" s="4" t="n"/>
      <c r="D524" s="5" t="n"/>
      <c r="E524" s="5" t="n"/>
      <c r="F524" s="6">
        <f>IF(AND(D524&lt;&gt;"",E524&lt;&gt;""),ROUND((E524-D524)*1440,0),"")</f>
        <v/>
      </c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6">
        <f>IF(C524="착유장",기준값!$B$3,IF(C524="건유·육성우동",기준값!$B$2,""))</f>
        <v/>
      </c>
      <c r="V524" s="6">
        <f>IF(AND(F524&lt;&gt;"",F524&gt;0,U524&lt;&gt;""),ROUND((U524-N(K524))/(F524/60),0),"")</f>
        <v/>
      </c>
      <c r="W524" s="6">
        <f>IF(U524&lt;&gt;"",ROUND(N(K524)/U524*100,1),"")</f>
        <v/>
      </c>
    </row>
    <row r="525">
      <c r="A525" s="3" t="n"/>
      <c r="B525" s="4" t="n"/>
      <c r="C525" s="4" t="n"/>
      <c r="D525" s="5" t="n"/>
      <c r="E525" s="5" t="n"/>
      <c r="F525" s="6">
        <f>IF(AND(D525&lt;&gt;"",E525&lt;&gt;""),ROUND((E525-D525)*1440,0),"")</f>
        <v/>
      </c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6">
        <f>IF(C525="착유장",기준값!$B$3,IF(C525="건유·육성우동",기준값!$B$2,""))</f>
        <v/>
      </c>
      <c r="V525" s="6">
        <f>IF(AND(F525&lt;&gt;"",F525&gt;0,U525&lt;&gt;""),ROUND((U525-N(K525))/(F525/60),0),"")</f>
        <v/>
      </c>
      <c r="W525" s="6">
        <f>IF(U525&lt;&gt;"",ROUND(N(K525)/U525*100,1),"")</f>
        <v/>
      </c>
    </row>
    <row r="526">
      <c r="A526" s="3" t="n"/>
      <c r="B526" s="4" t="n"/>
      <c r="C526" s="4" t="n"/>
      <c r="D526" s="5" t="n"/>
      <c r="E526" s="5" t="n"/>
      <c r="F526" s="6">
        <f>IF(AND(D526&lt;&gt;"",E526&lt;&gt;""),ROUND((E526-D526)*1440,0),"")</f>
        <v/>
      </c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6">
        <f>IF(C526="착유장",기준값!$B$3,IF(C526="건유·육성우동",기준값!$B$2,""))</f>
        <v/>
      </c>
      <c r="V526" s="6">
        <f>IF(AND(F526&lt;&gt;"",F526&gt;0,U526&lt;&gt;""),ROUND((U526-N(K526))/(F526/60),0),"")</f>
        <v/>
      </c>
      <c r="W526" s="6">
        <f>IF(U526&lt;&gt;"",ROUND(N(K526)/U526*100,1),"")</f>
        <v/>
      </c>
    </row>
    <row r="527">
      <c r="A527" s="3" t="n"/>
      <c r="B527" s="4" t="n"/>
      <c r="C527" s="4" t="n"/>
      <c r="D527" s="5" t="n"/>
      <c r="E527" s="5" t="n"/>
      <c r="F527" s="6">
        <f>IF(AND(D527&lt;&gt;"",E527&lt;&gt;""),ROUND((E527-D527)*1440,0),"")</f>
        <v/>
      </c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6">
        <f>IF(C527="착유장",기준값!$B$3,IF(C527="건유·육성우동",기준값!$B$2,""))</f>
        <v/>
      </c>
      <c r="V527" s="6">
        <f>IF(AND(F527&lt;&gt;"",F527&gt;0,U527&lt;&gt;""),ROUND((U527-N(K527))/(F527/60),0),"")</f>
        <v/>
      </c>
      <c r="W527" s="6">
        <f>IF(U527&lt;&gt;"",ROUND(N(K527)/U527*100,1),"")</f>
        <v/>
      </c>
    </row>
    <row r="528">
      <c r="A528" s="3" t="n"/>
      <c r="B528" s="4" t="n"/>
      <c r="C528" s="4" t="n"/>
      <c r="D528" s="5" t="n"/>
      <c r="E528" s="5" t="n"/>
      <c r="F528" s="6">
        <f>IF(AND(D528&lt;&gt;"",E528&lt;&gt;""),ROUND((E528-D528)*1440,0),"")</f>
        <v/>
      </c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6">
        <f>IF(C528="착유장",기준값!$B$3,IF(C528="건유·육성우동",기준값!$B$2,""))</f>
        <v/>
      </c>
      <c r="V528" s="6">
        <f>IF(AND(F528&lt;&gt;"",F528&gt;0,U528&lt;&gt;""),ROUND((U528-N(K528))/(F528/60),0),"")</f>
        <v/>
      </c>
      <c r="W528" s="6">
        <f>IF(U528&lt;&gt;"",ROUND(N(K528)/U528*100,1),"")</f>
        <v/>
      </c>
    </row>
    <row r="529">
      <c r="A529" s="3" t="n"/>
      <c r="B529" s="4" t="n"/>
      <c r="C529" s="4" t="n"/>
      <c r="D529" s="5" t="n"/>
      <c r="E529" s="5" t="n"/>
      <c r="F529" s="6">
        <f>IF(AND(D529&lt;&gt;"",E529&lt;&gt;""),ROUND((E529-D529)*1440,0),"")</f>
        <v/>
      </c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6">
        <f>IF(C529="착유장",기준값!$B$3,IF(C529="건유·육성우동",기준값!$B$2,""))</f>
        <v/>
      </c>
      <c r="V529" s="6">
        <f>IF(AND(F529&lt;&gt;"",F529&gt;0,U529&lt;&gt;""),ROUND((U529-N(K529))/(F529/60),0),"")</f>
        <v/>
      </c>
      <c r="W529" s="6">
        <f>IF(U529&lt;&gt;"",ROUND(N(K529)/U529*100,1),"")</f>
        <v/>
      </c>
    </row>
    <row r="530">
      <c r="A530" s="3" t="n"/>
      <c r="B530" s="4" t="n"/>
      <c r="C530" s="4" t="n"/>
      <c r="D530" s="5" t="n"/>
      <c r="E530" s="5" t="n"/>
      <c r="F530" s="6">
        <f>IF(AND(D530&lt;&gt;"",E530&lt;&gt;""),ROUND((E530-D530)*1440,0),"")</f>
        <v/>
      </c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6">
        <f>IF(C530="착유장",기준값!$B$3,IF(C530="건유·육성우동",기준값!$B$2,""))</f>
        <v/>
      </c>
      <c r="V530" s="6">
        <f>IF(AND(F530&lt;&gt;"",F530&gt;0,U530&lt;&gt;""),ROUND((U530-N(K530))/(F530/60),0),"")</f>
        <v/>
      </c>
      <c r="W530" s="6">
        <f>IF(U530&lt;&gt;"",ROUND(N(K530)/U530*100,1),"")</f>
        <v/>
      </c>
    </row>
    <row r="531">
      <c r="A531" s="3" t="n"/>
      <c r="B531" s="4" t="n"/>
      <c r="C531" s="4" t="n"/>
      <c r="D531" s="5" t="n"/>
      <c r="E531" s="5" t="n"/>
      <c r="F531" s="6">
        <f>IF(AND(D531&lt;&gt;"",E531&lt;&gt;""),ROUND((E531-D531)*1440,0),"")</f>
        <v/>
      </c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6">
        <f>IF(C531="착유장",기준값!$B$3,IF(C531="건유·육성우동",기준값!$B$2,""))</f>
        <v/>
      </c>
      <c r="V531" s="6">
        <f>IF(AND(F531&lt;&gt;"",F531&gt;0,U531&lt;&gt;""),ROUND((U531-N(K531))/(F531/60),0),"")</f>
        <v/>
      </c>
      <c r="W531" s="6">
        <f>IF(U531&lt;&gt;"",ROUND(N(K531)/U531*100,1),"")</f>
        <v/>
      </c>
    </row>
    <row r="532">
      <c r="A532" s="3" t="n"/>
      <c r="B532" s="4" t="n"/>
      <c r="C532" s="4" t="n"/>
      <c r="D532" s="5" t="n"/>
      <c r="E532" s="5" t="n"/>
      <c r="F532" s="6">
        <f>IF(AND(D532&lt;&gt;"",E532&lt;&gt;""),ROUND((E532-D532)*1440,0),"")</f>
        <v/>
      </c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6">
        <f>IF(C532="착유장",기준값!$B$3,IF(C532="건유·육성우동",기준값!$B$2,""))</f>
        <v/>
      </c>
      <c r="V532" s="6">
        <f>IF(AND(F532&lt;&gt;"",F532&gt;0,U532&lt;&gt;""),ROUND((U532-N(K532))/(F532/60),0),"")</f>
        <v/>
      </c>
      <c r="W532" s="6">
        <f>IF(U532&lt;&gt;"",ROUND(N(K532)/U532*100,1),"")</f>
        <v/>
      </c>
    </row>
    <row r="533">
      <c r="A533" s="3" t="n"/>
      <c r="B533" s="4" t="n"/>
      <c r="C533" s="4" t="n"/>
      <c r="D533" s="5" t="n"/>
      <c r="E533" s="5" t="n"/>
      <c r="F533" s="6">
        <f>IF(AND(D533&lt;&gt;"",E533&lt;&gt;""),ROUND((E533-D533)*1440,0),"")</f>
        <v/>
      </c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6">
        <f>IF(C533="착유장",기준값!$B$3,IF(C533="건유·육성우동",기준값!$B$2,""))</f>
        <v/>
      </c>
      <c r="V533" s="6">
        <f>IF(AND(F533&lt;&gt;"",F533&gt;0,U533&lt;&gt;""),ROUND((U533-N(K533))/(F533/60),0),"")</f>
        <v/>
      </c>
      <c r="W533" s="6">
        <f>IF(U533&lt;&gt;"",ROUND(N(K533)/U533*100,1),"")</f>
        <v/>
      </c>
    </row>
    <row r="534">
      <c r="A534" s="3" t="n"/>
      <c r="B534" s="4" t="n"/>
      <c r="C534" s="4" t="n"/>
      <c r="D534" s="5" t="n"/>
      <c r="E534" s="5" t="n"/>
      <c r="F534" s="6">
        <f>IF(AND(D534&lt;&gt;"",E534&lt;&gt;""),ROUND((E534-D534)*1440,0),"")</f>
        <v/>
      </c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6">
        <f>IF(C534="착유장",기준값!$B$3,IF(C534="건유·육성우동",기준값!$B$2,""))</f>
        <v/>
      </c>
      <c r="V534" s="6">
        <f>IF(AND(F534&lt;&gt;"",F534&gt;0,U534&lt;&gt;""),ROUND((U534-N(K534))/(F534/60),0),"")</f>
        <v/>
      </c>
      <c r="W534" s="6">
        <f>IF(U534&lt;&gt;"",ROUND(N(K534)/U534*100,1),"")</f>
        <v/>
      </c>
    </row>
    <row r="535">
      <c r="A535" s="3" t="n"/>
      <c r="B535" s="4" t="n"/>
      <c r="C535" s="4" t="n"/>
      <c r="D535" s="5" t="n"/>
      <c r="E535" s="5" t="n"/>
      <c r="F535" s="6">
        <f>IF(AND(D535&lt;&gt;"",E535&lt;&gt;""),ROUND((E535-D535)*1440,0),"")</f>
        <v/>
      </c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6">
        <f>IF(C535="착유장",기준값!$B$3,IF(C535="건유·육성우동",기준값!$B$2,""))</f>
        <v/>
      </c>
      <c r="V535" s="6">
        <f>IF(AND(F535&lt;&gt;"",F535&gt;0,U535&lt;&gt;""),ROUND((U535-N(K535))/(F535/60),0),"")</f>
        <v/>
      </c>
      <c r="W535" s="6">
        <f>IF(U535&lt;&gt;"",ROUND(N(K535)/U535*100,1),"")</f>
        <v/>
      </c>
    </row>
    <row r="536">
      <c r="A536" s="3" t="n"/>
      <c r="B536" s="4" t="n"/>
      <c r="C536" s="4" t="n"/>
      <c r="D536" s="5" t="n"/>
      <c r="E536" s="5" t="n"/>
      <c r="F536" s="6">
        <f>IF(AND(D536&lt;&gt;"",E536&lt;&gt;""),ROUND((E536-D536)*1440,0),"")</f>
        <v/>
      </c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6">
        <f>IF(C536="착유장",기준값!$B$3,IF(C536="건유·육성우동",기준값!$B$2,""))</f>
        <v/>
      </c>
      <c r="V536" s="6">
        <f>IF(AND(F536&lt;&gt;"",F536&gt;0,U536&lt;&gt;""),ROUND((U536-N(K536))/(F536/60),0),"")</f>
        <v/>
      </c>
      <c r="W536" s="6">
        <f>IF(U536&lt;&gt;"",ROUND(N(K536)/U536*100,1),"")</f>
        <v/>
      </c>
    </row>
    <row r="537">
      <c r="A537" s="3" t="n"/>
      <c r="B537" s="4" t="n"/>
      <c r="C537" s="4" t="n"/>
      <c r="D537" s="5" t="n"/>
      <c r="E537" s="5" t="n"/>
      <c r="F537" s="6">
        <f>IF(AND(D537&lt;&gt;"",E537&lt;&gt;""),ROUND((E537-D537)*1440,0),"")</f>
        <v/>
      </c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6">
        <f>IF(C537="착유장",기준값!$B$3,IF(C537="건유·육성우동",기준값!$B$2,""))</f>
        <v/>
      </c>
      <c r="V537" s="6">
        <f>IF(AND(F537&lt;&gt;"",F537&gt;0,U537&lt;&gt;""),ROUND((U537-N(K537))/(F537/60),0),"")</f>
        <v/>
      </c>
      <c r="W537" s="6">
        <f>IF(U537&lt;&gt;"",ROUND(N(K537)/U537*100,1),"")</f>
        <v/>
      </c>
    </row>
    <row r="538">
      <c r="A538" s="3" t="n"/>
      <c r="B538" s="4" t="n"/>
      <c r="C538" s="4" t="n"/>
      <c r="D538" s="5" t="n"/>
      <c r="E538" s="5" t="n"/>
      <c r="F538" s="6">
        <f>IF(AND(D538&lt;&gt;"",E538&lt;&gt;""),ROUND((E538-D538)*1440,0),"")</f>
        <v/>
      </c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6">
        <f>IF(C538="착유장",기준값!$B$3,IF(C538="건유·육성우동",기준값!$B$2,""))</f>
        <v/>
      </c>
      <c r="V538" s="6">
        <f>IF(AND(F538&lt;&gt;"",F538&gt;0,U538&lt;&gt;""),ROUND((U538-N(K538))/(F538/60),0),"")</f>
        <v/>
      </c>
      <c r="W538" s="6">
        <f>IF(U538&lt;&gt;"",ROUND(N(K538)/U538*100,1),"")</f>
        <v/>
      </c>
    </row>
    <row r="539">
      <c r="A539" s="3" t="n"/>
      <c r="B539" s="4" t="n"/>
      <c r="C539" s="4" t="n"/>
      <c r="D539" s="5" t="n"/>
      <c r="E539" s="5" t="n"/>
      <c r="F539" s="6">
        <f>IF(AND(D539&lt;&gt;"",E539&lt;&gt;""),ROUND((E539-D539)*1440,0),"")</f>
        <v/>
      </c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6">
        <f>IF(C539="착유장",기준값!$B$3,IF(C539="건유·육성우동",기준값!$B$2,""))</f>
        <v/>
      </c>
      <c r="V539" s="6">
        <f>IF(AND(F539&lt;&gt;"",F539&gt;0,U539&lt;&gt;""),ROUND((U539-N(K539))/(F539/60),0),"")</f>
        <v/>
      </c>
      <c r="W539" s="6">
        <f>IF(U539&lt;&gt;"",ROUND(N(K539)/U539*100,1),"")</f>
        <v/>
      </c>
    </row>
    <row r="540">
      <c r="A540" s="3" t="n"/>
      <c r="B540" s="4" t="n"/>
      <c r="C540" s="4" t="n"/>
      <c r="D540" s="5" t="n"/>
      <c r="E540" s="5" t="n"/>
      <c r="F540" s="6">
        <f>IF(AND(D540&lt;&gt;"",E540&lt;&gt;""),ROUND((E540-D540)*1440,0),"")</f>
        <v/>
      </c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6">
        <f>IF(C540="착유장",기준값!$B$3,IF(C540="건유·육성우동",기준값!$B$2,""))</f>
        <v/>
      </c>
      <c r="V540" s="6">
        <f>IF(AND(F540&lt;&gt;"",F540&gt;0,U540&lt;&gt;""),ROUND((U540-N(K540))/(F540/60),0),"")</f>
        <v/>
      </c>
      <c r="W540" s="6">
        <f>IF(U540&lt;&gt;"",ROUND(N(K540)/U540*100,1),"")</f>
        <v/>
      </c>
    </row>
    <row r="541">
      <c r="A541" s="3" t="n"/>
      <c r="B541" s="4" t="n"/>
      <c r="C541" s="4" t="n"/>
      <c r="D541" s="5" t="n"/>
      <c r="E541" s="5" t="n"/>
      <c r="F541" s="6">
        <f>IF(AND(D541&lt;&gt;"",E541&lt;&gt;""),ROUND((E541-D541)*1440,0),"")</f>
        <v/>
      </c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6">
        <f>IF(C541="착유장",기준값!$B$3,IF(C541="건유·육성우동",기준값!$B$2,""))</f>
        <v/>
      </c>
      <c r="V541" s="6">
        <f>IF(AND(F541&lt;&gt;"",F541&gt;0,U541&lt;&gt;""),ROUND((U541-N(K541))/(F541/60),0),"")</f>
        <v/>
      </c>
      <c r="W541" s="6">
        <f>IF(U541&lt;&gt;"",ROUND(N(K541)/U541*100,1),"")</f>
        <v/>
      </c>
    </row>
    <row r="542">
      <c r="A542" s="3" t="n"/>
      <c r="B542" s="4" t="n"/>
      <c r="C542" s="4" t="n"/>
      <c r="D542" s="5" t="n"/>
      <c r="E542" s="5" t="n"/>
      <c r="F542" s="6">
        <f>IF(AND(D542&lt;&gt;"",E542&lt;&gt;""),ROUND((E542-D542)*1440,0),"")</f>
        <v/>
      </c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6">
        <f>IF(C542="착유장",기준값!$B$3,IF(C542="건유·육성우동",기준값!$B$2,""))</f>
        <v/>
      </c>
      <c r="V542" s="6">
        <f>IF(AND(F542&lt;&gt;"",F542&gt;0,U542&lt;&gt;""),ROUND((U542-N(K542))/(F542/60),0),"")</f>
        <v/>
      </c>
      <c r="W542" s="6">
        <f>IF(U542&lt;&gt;"",ROUND(N(K542)/U542*100,1),"")</f>
        <v/>
      </c>
    </row>
    <row r="543">
      <c r="A543" s="3" t="n"/>
      <c r="B543" s="4" t="n"/>
      <c r="C543" s="4" t="n"/>
      <c r="D543" s="5" t="n"/>
      <c r="E543" s="5" t="n"/>
      <c r="F543" s="6">
        <f>IF(AND(D543&lt;&gt;"",E543&lt;&gt;""),ROUND((E543-D543)*1440,0),"")</f>
        <v/>
      </c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6">
        <f>IF(C543="착유장",기준값!$B$3,IF(C543="건유·육성우동",기준값!$B$2,""))</f>
        <v/>
      </c>
      <c r="V543" s="6">
        <f>IF(AND(F543&lt;&gt;"",F543&gt;0,U543&lt;&gt;""),ROUND((U543-N(K543))/(F543/60),0),"")</f>
        <v/>
      </c>
      <c r="W543" s="6">
        <f>IF(U543&lt;&gt;"",ROUND(N(K543)/U543*100,1),"")</f>
        <v/>
      </c>
    </row>
    <row r="544">
      <c r="A544" s="3" t="n"/>
      <c r="B544" s="4" t="n"/>
      <c r="C544" s="4" t="n"/>
      <c r="D544" s="5" t="n"/>
      <c r="E544" s="5" t="n"/>
      <c r="F544" s="6">
        <f>IF(AND(D544&lt;&gt;"",E544&lt;&gt;""),ROUND((E544-D544)*1440,0),"")</f>
        <v/>
      </c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6">
        <f>IF(C544="착유장",기준값!$B$3,IF(C544="건유·육성우동",기준값!$B$2,""))</f>
        <v/>
      </c>
      <c r="V544" s="6">
        <f>IF(AND(F544&lt;&gt;"",F544&gt;0,U544&lt;&gt;""),ROUND((U544-N(K544))/(F544/60),0),"")</f>
        <v/>
      </c>
      <c r="W544" s="6">
        <f>IF(U544&lt;&gt;"",ROUND(N(K544)/U544*100,1),"")</f>
        <v/>
      </c>
    </row>
    <row r="545">
      <c r="A545" s="3" t="n"/>
      <c r="B545" s="4" t="n"/>
      <c r="C545" s="4" t="n"/>
      <c r="D545" s="5" t="n"/>
      <c r="E545" s="5" t="n"/>
      <c r="F545" s="6">
        <f>IF(AND(D545&lt;&gt;"",E545&lt;&gt;""),ROUND((E545-D545)*1440,0),"")</f>
        <v/>
      </c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6">
        <f>IF(C545="착유장",기준값!$B$3,IF(C545="건유·육성우동",기준값!$B$2,""))</f>
        <v/>
      </c>
      <c r="V545" s="6">
        <f>IF(AND(F545&lt;&gt;"",F545&gt;0,U545&lt;&gt;""),ROUND((U545-N(K545))/(F545/60),0),"")</f>
        <v/>
      </c>
      <c r="W545" s="6">
        <f>IF(U545&lt;&gt;"",ROUND(N(K545)/U545*100,1),"")</f>
        <v/>
      </c>
    </row>
    <row r="546">
      <c r="A546" s="3" t="n"/>
      <c r="B546" s="4" t="n"/>
      <c r="C546" s="4" t="n"/>
      <c r="D546" s="5" t="n"/>
      <c r="E546" s="5" t="n"/>
      <c r="F546" s="6">
        <f>IF(AND(D546&lt;&gt;"",E546&lt;&gt;""),ROUND((E546-D546)*1440,0),"")</f>
        <v/>
      </c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6">
        <f>IF(C546="착유장",기준값!$B$3,IF(C546="건유·육성우동",기준값!$B$2,""))</f>
        <v/>
      </c>
      <c r="V546" s="6">
        <f>IF(AND(F546&lt;&gt;"",F546&gt;0,U546&lt;&gt;""),ROUND((U546-N(K546))/(F546/60),0),"")</f>
        <v/>
      </c>
      <c r="W546" s="6">
        <f>IF(U546&lt;&gt;"",ROUND(N(K546)/U546*100,1),"")</f>
        <v/>
      </c>
    </row>
    <row r="547">
      <c r="A547" s="3" t="n"/>
      <c r="B547" s="4" t="n"/>
      <c r="C547" s="4" t="n"/>
      <c r="D547" s="5" t="n"/>
      <c r="E547" s="5" t="n"/>
      <c r="F547" s="6">
        <f>IF(AND(D547&lt;&gt;"",E547&lt;&gt;""),ROUND((E547-D547)*1440,0),"")</f>
        <v/>
      </c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6">
        <f>IF(C547="착유장",기준값!$B$3,IF(C547="건유·육성우동",기준값!$B$2,""))</f>
        <v/>
      </c>
      <c r="V547" s="6">
        <f>IF(AND(F547&lt;&gt;"",F547&gt;0,U547&lt;&gt;""),ROUND((U547-N(K547))/(F547/60),0),"")</f>
        <v/>
      </c>
      <c r="W547" s="6">
        <f>IF(U547&lt;&gt;"",ROUND(N(K547)/U547*100,1),"")</f>
        <v/>
      </c>
    </row>
    <row r="548">
      <c r="A548" s="3" t="n"/>
      <c r="B548" s="4" t="n"/>
      <c r="C548" s="4" t="n"/>
      <c r="D548" s="5" t="n"/>
      <c r="E548" s="5" t="n"/>
      <c r="F548" s="6">
        <f>IF(AND(D548&lt;&gt;"",E548&lt;&gt;""),ROUND((E548-D548)*1440,0),"")</f>
        <v/>
      </c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6">
        <f>IF(C548="착유장",기준값!$B$3,IF(C548="건유·육성우동",기준값!$B$2,""))</f>
        <v/>
      </c>
      <c r="V548" s="6">
        <f>IF(AND(F548&lt;&gt;"",F548&gt;0,U548&lt;&gt;""),ROUND((U548-N(K548))/(F548/60),0),"")</f>
        <v/>
      </c>
      <c r="W548" s="6">
        <f>IF(U548&lt;&gt;"",ROUND(N(K548)/U548*100,1),"")</f>
        <v/>
      </c>
    </row>
    <row r="549">
      <c r="A549" s="3" t="n"/>
      <c r="B549" s="4" t="n"/>
      <c r="C549" s="4" t="n"/>
      <c r="D549" s="5" t="n"/>
      <c r="E549" s="5" t="n"/>
      <c r="F549" s="6">
        <f>IF(AND(D549&lt;&gt;"",E549&lt;&gt;""),ROUND((E549-D549)*1440,0),"")</f>
        <v/>
      </c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6">
        <f>IF(C549="착유장",기준값!$B$3,IF(C549="건유·육성우동",기준값!$B$2,""))</f>
        <v/>
      </c>
      <c r="V549" s="6">
        <f>IF(AND(F549&lt;&gt;"",F549&gt;0,U549&lt;&gt;""),ROUND((U549-N(K549))/(F549/60),0),"")</f>
        <v/>
      </c>
      <c r="W549" s="6">
        <f>IF(U549&lt;&gt;"",ROUND(N(K549)/U549*100,1),"")</f>
        <v/>
      </c>
    </row>
    <row r="550">
      <c r="A550" s="3" t="n"/>
      <c r="B550" s="4" t="n"/>
      <c r="C550" s="4" t="n"/>
      <c r="D550" s="5" t="n"/>
      <c r="E550" s="5" t="n"/>
      <c r="F550" s="6">
        <f>IF(AND(D550&lt;&gt;"",E550&lt;&gt;""),ROUND((E550-D550)*1440,0),"")</f>
        <v/>
      </c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6">
        <f>IF(C550="착유장",기준값!$B$3,IF(C550="건유·육성우동",기준값!$B$2,""))</f>
        <v/>
      </c>
      <c r="V550" s="6">
        <f>IF(AND(F550&lt;&gt;"",F550&gt;0,U550&lt;&gt;""),ROUND((U550-N(K550))/(F550/60),0),"")</f>
        <v/>
      </c>
      <c r="W550" s="6">
        <f>IF(U550&lt;&gt;"",ROUND(N(K550)/U550*100,1),"")</f>
        <v/>
      </c>
    </row>
    <row r="551">
      <c r="A551" s="3" t="n"/>
      <c r="B551" s="4" t="n"/>
      <c r="C551" s="4" t="n"/>
      <c r="D551" s="5" t="n"/>
      <c r="E551" s="5" t="n"/>
      <c r="F551" s="6">
        <f>IF(AND(D551&lt;&gt;"",E551&lt;&gt;""),ROUND((E551-D551)*1440,0),"")</f>
        <v/>
      </c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6">
        <f>IF(C551="착유장",기준값!$B$3,IF(C551="건유·육성우동",기준값!$B$2,""))</f>
        <v/>
      </c>
      <c r="V551" s="6">
        <f>IF(AND(F551&lt;&gt;"",F551&gt;0,U551&lt;&gt;""),ROUND((U551-N(K551))/(F551/60),0),"")</f>
        <v/>
      </c>
      <c r="W551" s="6">
        <f>IF(U551&lt;&gt;"",ROUND(N(K551)/U551*100,1),"")</f>
        <v/>
      </c>
    </row>
    <row r="552">
      <c r="A552" s="3" t="n"/>
      <c r="B552" s="4" t="n"/>
      <c r="C552" s="4" t="n"/>
      <c r="D552" s="5" t="n"/>
      <c r="E552" s="5" t="n"/>
      <c r="F552" s="6">
        <f>IF(AND(D552&lt;&gt;"",E552&lt;&gt;""),ROUND((E552-D552)*1440,0),"")</f>
        <v/>
      </c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6">
        <f>IF(C552="착유장",기준값!$B$3,IF(C552="건유·육성우동",기준값!$B$2,""))</f>
        <v/>
      </c>
      <c r="V552" s="6">
        <f>IF(AND(F552&lt;&gt;"",F552&gt;0,U552&lt;&gt;""),ROUND((U552-N(K552))/(F552/60),0),"")</f>
        <v/>
      </c>
      <c r="W552" s="6">
        <f>IF(U552&lt;&gt;"",ROUND(N(K552)/U552*100,1),"")</f>
        <v/>
      </c>
    </row>
    <row r="553">
      <c r="A553" s="3" t="n"/>
      <c r="B553" s="4" t="n"/>
      <c r="C553" s="4" t="n"/>
      <c r="D553" s="5" t="n"/>
      <c r="E553" s="5" t="n"/>
      <c r="F553" s="6">
        <f>IF(AND(D553&lt;&gt;"",E553&lt;&gt;""),ROUND((E553-D553)*1440,0),"")</f>
        <v/>
      </c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6">
        <f>IF(C553="착유장",기준값!$B$3,IF(C553="건유·육성우동",기준값!$B$2,""))</f>
        <v/>
      </c>
      <c r="V553" s="6">
        <f>IF(AND(F553&lt;&gt;"",F553&gt;0,U553&lt;&gt;""),ROUND((U553-N(K553))/(F553/60),0),"")</f>
        <v/>
      </c>
      <c r="W553" s="6">
        <f>IF(U553&lt;&gt;"",ROUND(N(K553)/U553*100,1),"")</f>
        <v/>
      </c>
    </row>
    <row r="554">
      <c r="A554" s="3" t="n"/>
      <c r="B554" s="4" t="n"/>
      <c r="C554" s="4" t="n"/>
      <c r="D554" s="5" t="n"/>
      <c r="E554" s="5" t="n"/>
      <c r="F554" s="6">
        <f>IF(AND(D554&lt;&gt;"",E554&lt;&gt;""),ROUND((E554-D554)*1440,0),"")</f>
        <v/>
      </c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6">
        <f>IF(C554="착유장",기준값!$B$3,IF(C554="건유·육성우동",기준값!$B$2,""))</f>
        <v/>
      </c>
      <c r="V554" s="6">
        <f>IF(AND(F554&lt;&gt;"",F554&gt;0,U554&lt;&gt;""),ROUND((U554-N(K554))/(F554/60),0),"")</f>
        <v/>
      </c>
      <c r="W554" s="6">
        <f>IF(U554&lt;&gt;"",ROUND(N(K554)/U554*100,1),"")</f>
        <v/>
      </c>
    </row>
    <row r="555">
      <c r="A555" s="3" t="n"/>
      <c r="B555" s="4" t="n"/>
      <c r="C555" s="4" t="n"/>
      <c r="D555" s="5" t="n"/>
      <c r="E555" s="5" t="n"/>
      <c r="F555" s="6">
        <f>IF(AND(D555&lt;&gt;"",E555&lt;&gt;""),ROUND((E555-D555)*1440,0),"")</f>
        <v/>
      </c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6">
        <f>IF(C555="착유장",기준값!$B$3,IF(C555="건유·육성우동",기준값!$B$2,""))</f>
        <v/>
      </c>
      <c r="V555" s="6">
        <f>IF(AND(F555&lt;&gt;"",F555&gt;0,U555&lt;&gt;""),ROUND((U555-N(K555))/(F555/60),0),"")</f>
        <v/>
      </c>
      <c r="W555" s="6">
        <f>IF(U555&lt;&gt;"",ROUND(N(K555)/U555*100,1),"")</f>
        <v/>
      </c>
    </row>
    <row r="556">
      <c r="A556" s="3" t="n"/>
      <c r="B556" s="4" t="n"/>
      <c r="C556" s="4" t="n"/>
      <c r="D556" s="5" t="n"/>
      <c r="E556" s="5" t="n"/>
      <c r="F556" s="6">
        <f>IF(AND(D556&lt;&gt;"",E556&lt;&gt;""),ROUND((E556-D556)*1440,0),"")</f>
        <v/>
      </c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6">
        <f>IF(C556="착유장",기준값!$B$3,IF(C556="건유·육성우동",기준값!$B$2,""))</f>
        <v/>
      </c>
      <c r="V556" s="6">
        <f>IF(AND(F556&lt;&gt;"",F556&gt;0,U556&lt;&gt;""),ROUND((U556-N(K556))/(F556/60),0),"")</f>
        <v/>
      </c>
      <c r="W556" s="6">
        <f>IF(U556&lt;&gt;"",ROUND(N(K556)/U556*100,1),"")</f>
        <v/>
      </c>
    </row>
    <row r="557">
      <c r="A557" s="3" t="n"/>
      <c r="B557" s="4" t="n"/>
      <c r="C557" s="4" t="n"/>
      <c r="D557" s="5" t="n"/>
      <c r="E557" s="5" t="n"/>
      <c r="F557" s="6">
        <f>IF(AND(D557&lt;&gt;"",E557&lt;&gt;""),ROUND((E557-D557)*1440,0),"")</f>
        <v/>
      </c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6">
        <f>IF(C557="착유장",기준값!$B$3,IF(C557="건유·육성우동",기준값!$B$2,""))</f>
        <v/>
      </c>
      <c r="V557" s="6">
        <f>IF(AND(F557&lt;&gt;"",F557&gt;0,U557&lt;&gt;""),ROUND((U557-N(K557))/(F557/60),0),"")</f>
        <v/>
      </c>
      <c r="W557" s="6">
        <f>IF(U557&lt;&gt;"",ROUND(N(K557)/U557*100,1),"")</f>
        <v/>
      </c>
    </row>
    <row r="558">
      <c r="A558" s="3" t="n"/>
      <c r="B558" s="4" t="n"/>
      <c r="C558" s="4" t="n"/>
      <c r="D558" s="5" t="n"/>
      <c r="E558" s="5" t="n"/>
      <c r="F558" s="6">
        <f>IF(AND(D558&lt;&gt;"",E558&lt;&gt;""),ROUND((E558-D558)*1440,0),"")</f>
        <v/>
      </c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6">
        <f>IF(C558="착유장",기준값!$B$3,IF(C558="건유·육성우동",기준값!$B$2,""))</f>
        <v/>
      </c>
      <c r="V558" s="6">
        <f>IF(AND(F558&lt;&gt;"",F558&gt;0,U558&lt;&gt;""),ROUND((U558-N(K558))/(F558/60),0),"")</f>
        <v/>
      </c>
      <c r="W558" s="6">
        <f>IF(U558&lt;&gt;"",ROUND(N(K558)/U558*100,1),"")</f>
        <v/>
      </c>
    </row>
    <row r="559">
      <c r="A559" s="3" t="n"/>
      <c r="B559" s="4" t="n"/>
      <c r="C559" s="4" t="n"/>
      <c r="D559" s="5" t="n"/>
      <c r="E559" s="5" t="n"/>
      <c r="F559" s="6">
        <f>IF(AND(D559&lt;&gt;"",E559&lt;&gt;""),ROUND((E559-D559)*1440,0),"")</f>
        <v/>
      </c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6">
        <f>IF(C559="착유장",기준값!$B$3,IF(C559="건유·육성우동",기준값!$B$2,""))</f>
        <v/>
      </c>
      <c r="V559" s="6">
        <f>IF(AND(F559&lt;&gt;"",F559&gt;0,U559&lt;&gt;""),ROUND((U559-N(K559))/(F559/60),0),"")</f>
        <v/>
      </c>
      <c r="W559" s="6">
        <f>IF(U559&lt;&gt;"",ROUND(N(K559)/U559*100,1),"")</f>
        <v/>
      </c>
    </row>
    <row r="560">
      <c r="A560" s="3" t="n"/>
      <c r="B560" s="4" t="n"/>
      <c r="C560" s="4" t="n"/>
      <c r="D560" s="5" t="n"/>
      <c r="E560" s="5" t="n"/>
      <c r="F560" s="6">
        <f>IF(AND(D560&lt;&gt;"",E560&lt;&gt;""),ROUND((E560-D560)*1440,0),"")</f>
        <v/>
      </c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6">
        <f>IF(C560="착유장",기준값!$B$3,IF(C560="건유·육성우동",기준값!$B$2,""))</f>
        <v/>
      </c>
      <c r="V560" s="6">
        <f>IF(AND(F560&lt;&gt;"",F560&gt;0,U560&lt;&gt;""),ROUND((U560-N(K560))/(F560/60),0),"")</f>
        <v/>
      </c>
      <c r="W560" s="6">
        <f>IF(U560&lt;&gt;"",ROUND(N(K560)/U560*100,1),"")</f>
        <v/>
      </c>
    </row>
    <row r="561">
      <c r="A561" s="3" t="n"/>
      <c r="B561" s="4" t="n"/>
      <c r="C561" s="4" t="n"/>
      <c r="D561" s="5" t="n"/>
      <c r="E561" s="5" t="n"/>
      <c r="F561" s="6">
        <f>IF(AND(D561&lt;&gt;"",E561&lt;&gt;""),ROUND((E561-D561)*1440,0),"")</f>
        <v/>
      </c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6">
        <f>IF(C561="착유장",기준값!$B$3,IF(C561="건유·육성우동",기준값!$B$2,""))</f>
        <v/>
      </c>
      <c r="V561" s="6">
        <f>IF(AND(F561&lt;&gt;"",F561&gt;0,U561&lt;&gt;""),ROUND((U561-N(K561))/(F561/60),0),"")</f>
        <v/>
      </c>
      <c r="W561" s="6">
        <f>IF(U561&lt;&gt;"",ROUND(N(K561)/U561*100,1),"")</f>
        <v/>
      </c>
    </row>
    <row r="562">
      <c r="A562" s="3" t="n"/>
      <c r="B562" s="4" t="n"/>
      <c r="C562" s="4" t="n"/>
      <c r="D562" s="5" t="n"/>
      <c r="E562" s="5" t="n"/>
      <c r="F562" s="6">
        <f>IF(AND(D562&lt;&gt;"",E562&lt;&gt;""),ROUND((E562-D562)*1440,0),"")</f>
        <v/>
      </c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6">
        <f>IF(C562="착유장",기준값!$B$3,IF(C562="건유·육성우동",기준값!$B$2,""))</f>
        <v/>
      </c>
      <c r="V562" s="6">
        <f>IF(AND(F562&lt;&gt;"",F562&gt;0,U562&lt;&gt;""),ROUND((U562-N(K562))/(F562/60),0),"")</f>
        <v/>
      </c>
      <c r="W562" s="6">
        <f>IF(U562&lt;&gt;"",ROUND(N(K562)/U562*100,1),"")</f>
        <v/>
      </c>
    </row>
    <row r="563">
      <c r="A563" s="3" t="n"/>
      <c r="B563" s="4" t="n"/>
      <c r="C563" s="4" t="n"/>
      <c r="D563" s="5" t="n"/>
      <c r="E563" s="5" t="n"/>
      <c r="F563" s="6">
        <f>IF(AND(D563&lt;&gt;"",E563&lt;&gt;""),ROUND((E563-D563)*1440,0),"")</f>
        <v/>
      </c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6">
        <f>IF(C563="착유장",기준값!$B$3,IF(C563="건유·육성우동",기준값!$B$2,""))</f>
        <v/>
      </c>
      <c r="V563" s="6">
        <f>IF(AND(F563&lt;&gt;"",F563&gt;0,U563&lt;&gt;""),ROUND((U563-N(K563))/(F563/60),0),"")</f>
        <v/>
      </c>
      <c r="W563" s="6">
        <f>IF(U563&lt;&gt;"",ROUND(N(K563)/U563*100,1),"")</f>
        <v/>
      </c>
    </row>
    <row r="564">
      <c r="A564" s="3" t="n"/>
      <c r="B564" s="4" t="n"/>
      <c r="C564" s="4" t="n"/>
      <c r="D564" s="5" t="n"/>
      <c r="E564" s="5" t="n"/>
      <c r="F564" s="6">
        <f>IF(AND(D564&lt;&gt;"",E564&lt;&gt;""),ROUND((E564-D564)*1440,0),"")</f>
        <v/>
      </c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6">
        <f>IF(C564="착유장",기준값!$B$3,IF(C564="건유·육성우동",기준값!$B$2,""))</f>
        <v/>
      </c>
      <c r="V564" s="6">
        <f>IF(AND(F564&lt;&gt;"",F564&gt;0,U564&lt;&gt;""),ROUND((U564-N(K564))/(F564/60),0),"")</f>
        <v/>
      </c>
      <c r="W564" s="6">
        <f>IF(U564&lt;&gt;"",ROUND(N(K564)/U564*100,1),"")</f>
        <v/>
      </c>
    </row>
    <row r="565">
      <c r="A565" s="3" t="n"/>
      <c r="B565" s="4" t="n"/>
      <c r="C565" s="4" t="n"/>
      <c r="D565" s="5" t="n"/>
      <c r="E565" s="5" t="n"/>
      <c r="F565" s="6">
        <f>IF(AND(D565&lt;&gt;"",E565&lt;&gt;""),ROUND((E565-D565)*1440,0),"")</f>
        <v/>
      </c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6">
        <f>IF(C565="착유장",기준값!$B$3,IF(C565="건유·육성우동",기준값!$B$2,""))</f>
        <v/>
      </c>
      <c r="V565" s="6">
        <f>IF(AND(F565&lt;&gt;"",F565&gt;0,U565&lt;&gt;""),ROUND((U565-N(K565))/(F565/60),0),"")</f>
        <v/>
      </c>
      <c r="W565" s="6">
        <f>IF(U565&lt;&gt;"",ROUND(N(K565)/U565*100,1),"")</f>
        <v/>
      </c>
    </row>
    <row r="566">
      <c r="A566" s="3" t="n"/>
      <c r="B566" s="4" t="n"/>
      <c r="C566" s="4" t="n"/>
      <c r="D566" s="5" t="n"/>
      <c r="E566" s="5" t="n"/>
      <c r="F566" s="6">
        <f>IF(AND(D566&lt;&gt;"",E566&lt;&gt;""),ROUND((E566-D566)*1440,0),"")</f>
        <v/>
      </c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6">
        <f>IF(C566="착유장",기준값!$B$3,IF(C566="건유·육성우동",기준값!$B$2,""))</f>
        <v/>
      </c>
      <c r="V566" s="6">
        <f>IF(AND(F566&lt;&gt;"",F566&gt;0,U566&lt;&gt;""),ROUND((U566-N(K566))/(F566/60),0),"")</f>
        <v/>
      </c>
      <c r="W566" s="6">
        <f>IF(U566&lt;&gt;"",ROUND(N(K566)/U566*100,1),"")</f>
        <v/>
      </c>
    </row>
    <row r="567">
      <c r="A567" s="3" t="n"/>
      <c r="B567" s="4" t="n"/>
      <c r="C567" s="4" t="n"/>
      <c r="D567" s="5" t="n"/>
      <c r="E567" s="5" t="n"/>
      <c r="F567" s="6">
        <f>IF(AND(D567&lt;&gt;"",E567&lt;&gt;""),ROUND((E567-D567)*1440,0),"")</f>
        <v/>
      </c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6">
        <f>IF(C567="착유장",기준값!$B$3,IF(C567="건유·육성우동",기준값!$B$2,""))</f>
        <v/>
      </c>
      <c r="V567" s="6">
        <f>IF(AND(F567&lt;&gt;"",F567&gt;0,U567&lt;&gt;""),ROUND((U567-N(K567))/(F567/60),0),"")</f>
        <v/>
      </c>
      <c r="W567" s="6">
        <f>IF(U567&lt;&gt;"",ROUND(N(K567)/U567*100,1),"")</f>
        <v/>
      </c>
    </row>
    <row r="568">
      <c r="A568" s="3" t="n"/>
      <c r="B568" s="4" t="n"/>
      <c r="C568" s="4" t="n"/>
      <c r="D568" s="5" t="n"/>
      <c r="E568" s="5" t="n"/>
      <c r="F568" s="6">
        <f>IF(AND(D568&lt;&gt;"",E568&lt;&gt;""),ROUND((E568-D568)*1440,0),"")</f>
        <v/>
      </c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6">
        <f>IF(C568="착유장",기준값!$B$3,IF(C568="건유·육성우동",기준값!$B$2,""))</f>
        <v/>
      </c>
      <c r="V568" s="6">
        <f>IF(AND(F568&lt;&gt;"",F568&gt;0,U568&lt;&gt;""),ROUND((U568-N(K568))/(F568/60),0),"")</f>
        <v/>
      </c>
      <c r="W568" s="6">
        <f>IF(U568&lt;&gt;"",ROUND(N(K568)/U568*100,1),"")</f>
        <v/>
      </c>
    </row>
    <row r="569">
      <c r="A569" s="3" t="n"/>
      <c r="B569" s="4" t="n"/>
      <c r="C569" s="4" t="n"/>
      <c r="D569" s="5" t="n"/>
      <c r="E569" s="5" t="n"/>
      <c r="F569" s="6">
        <f>IF(AND(D569&lt;&gt;"",E569&lt;&gt;""),ROUND((E569-D569)*1440,0),"")</f>
        <v/>
      </c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6">
        <f>IF(C569="착유장",기준값!$B$3,IF(C569="건유·육성우동",기준값!$B$2,""))</f>
        <v/>
      </c>
      <c r="V569" s="6">
        <f>IF(AND(F569&lt;&gt;"",F569&gt;0,U569&lt;&gt;""),ROUND((U569-N(K569))/(F569/60),0),"")</f>
        <v/>
      </c>
      <c r="W569" s="6">
        <f>IF(U569&lt;&gt;"",ROUND(N(K569)/U569*100,1),"")</f>
        <v/>
      </c>
    </row>
    <row r="570">
      <c r="A570" s="3" t="n"/>
      <c r="B570" s="4" t="n"/>
      <c r="C570" s="4" t="n"/>
      <c r="D570" s="5" t="n"/>
      <c r="E570" s="5" t="n"/>
      <c r="F570" s="6">
        <f>IF(AND(D570&lt;&gt;"",E570&lt;&gt;""),ROUND((E570-D570)*1440,0),"")</f>
        <v/>
      </c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6">
        <f>IF(C570="착유장",기준값!$B$3,IF(C570="건유·육성우동",기준값!$B$2,""))</f>
        <v/>
      </c>
      <c r="V570" s="6">
        <f>IF(AND(F570&lt;&gt;"",F570&gt;0,U570&lt;&gt;""),ROUND((U570-N(K570))/(F570/60),0),"")</f>
        <v/>
      </c>
      <c r="W570" s="6">
        <f>IF(U570&lt;&gt;"",ROUND(N(K570)/U570*100,1),"")</f>
        <v/>
      </c>
    </row>
    <row r="571">
      <c r="A571" s="3" t="n"/>
      <c r="B571" s="4" t="n"/>
      <c r="C571" s="4" t="n"/>
      <c r="D571" s="5" t="n"/>
      <c r="E571" s="5" t="n"/>
      <c r="F571" s="6">
        <f>IF(AND(D571&lt;&gt;"",E571&lt;&gt;""),ROUND((E571-D571)*1440,0),"")</f>
        <v/>
      </c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6">
        <f>IF(C571="착유장",기준값!$B$3,IF(C571="건유·육성우동",기준값!$B$2,""))</f>
        <v/>
      </c>
      <c r="V571" s="6">
        <f>IF(AND(F571&lt;&gt;"",F571&gt;0,U571&lt;&gt;""),ROUND((U571-N(K571))/(F571/60),0),"")</f>
        <v/>
      </c>
      <c r="W571" s="6">
        <f>IF(U571&lt;&gt;"",ROUND(N(K571)/U571*100,1),"")</f>
        <v/>
      </c>
    </row>
    <row r="572">
      <c r="A572" s="3" t="n"/>
      <c r="B572" s="4" t="n"/>
      <c r="C572" s="4" t="n"/>
      <c r="D572" s="5" t="n"/>
      <c r="E572" s="5" t="n"/>
      <c r="F572" s="6">
        <f>IF(AND(D572&lt;&gt;"",E572&lt;&gt;""),ROUND((E572-D572)*1440,0),"")</f>
        <v/>
      </c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6">
        <f>IF(C572="착유장",기준값!$B$3,IF(C572="건유·육성우동",기준값!$B$2,""))</f>
        <v/>
      </c>
      <c r="V572" s="6">
        <f>IF(AND(F572&lt;&gt;"",F572&gt;0,U572&lt;&gt;""),ROUND((U572-N(K572))/(F572/60),0),"")</f>
        <v/>
      </c>
      <c r="W572" s="6">
        <f>IF(U572&lt;&gt;"",ROUND(N(K572)/U572*100,1),"")</f>
        <v/>
      </c>
    </row>
    <row r="573">
      <c r="A573" s="3" t="n"/>
      <c r="B573" s="4" t="n"/>
      <c r="C573" s="4" t="n"/>
      <c r="D573" s="5" t="n"/>
      <c r="E573" s="5" t="n"/>
      <c r="F573" s="6">
        <f>IF(AND(D573&lt;&gt;"",E573&lt;&gt;""),ROUND((E573-D573)*1440,0),"")</f>
        <v/>
      </c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6">
        <f>IF(C573="착유장",기준값!$B$3,IF(C573="건유·육성우동",기준값!$B$2,""))</f>
        <v/>
      </c>
      <c r="V573" s="6">
        <f>IF(AND(F573&lt;&gt;"",F573&gt;0,U573&lt;&gt;""),ROUND((U573-N(K573))/(F573/60),0),"")</f>
        <v/>
      </c>
      <c r="W573" s="6">
        <f>IF(U573&lt;&gt;"",ROUND(N(K573)/U573*100,1),"")</f>
        <v/>
      </c>
    </row>
    <row r="574">
      <c r="A574" s="3" t="n"/>
      <c r="B574" s="4" t="n"/>
      <c r="C574" s="4" t="n"/>
      <c r="D574" s="5" t="n"/>
      <c r="E574" s="5" t="n"/>
      <c r="F574" s="6">
        <f>IF(AND(D574&lt;&gt;"",E574&lt;&gt;""),ROUND((E574-D574)*1440,0),"")</f>
        <v/>
      </c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6">
        <f>IF(C574="착유장",기준값!$B$3,IF(C574="건유·육성우동",기준값!$B$2,""))</f>
        <v/>
      </c>
      <c r="V574" s="6">
        <f>IF(AND(F574&lt;&gt;"",F574&gt;0,U574&lt;&gt;""),ROUND((U574-N(K574))/(F574/60),0),"")</f>
        <v/>
      </c>
      <c r="W574" s="6">
        <f>IF(U574&lt;&gt;"",ROUND(N(K574)/U574*100,1),"")</f>
        <v/>
      </c>
    </row>
    <row r="575">
      <c r="A575" s="3" t="n"/>
      <c r="B575" s="4" t="n"/>
      <c r="C575" s="4" t="n"/>
      <c r="D575" s="5" t="n"/>
      <c r="E575" s="5" t="n"/>
      <c r="F575" s="6">
        <f>IF(AND(D575&lt;&gt;"",E575&lt;&gt;""),ROUND((E575-D575)*1440,0),"")</f>
        <v/>
      </c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6">
        <f>IF(C575="착유장",기준값!$B$3,IF(C575="건유·육성우동",기준값!$B$2,""))</f>
        <v/>
      </c>
      <c r="V575" s="6">
        <f>IF(AND(F575&lt;&gt;"",F575&gt;0,U575&lt;&gt;""),ROUND((U575-N(K575))/(F575/60),0),"")</f>
        <v/>
      </c>
      <c r="W575" s="6">
        <f>IF(U575&lt;&gt;"",ROUND(N(K575)/U575*100,1),"")</f>
        <v/>
      </c>
    </row>
    <row r="576">
      <c r="A576" s="3" t="n"/>
      <c r="B576" s="4" t="n"/>
      <c r="C576" s="4" t="n"/>
      <c r="D576" s="5" t="n"/>
      <c r="E576" s="5" t="n"/>
      <c r="F576" s="6">
        <f>IF(AND(D576&lt;&gt;"",E576&lt;&gt;""),ROUND((E576-D576)*1440,0),"")</f>
        <v/>
      </c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6">
        <f>IF(C576="착유장",기준값!$B$3,IF(C576="건유·육성우동",기준값!$B$2,""))</f>
        <v/>
      </c>
      <c r="V576" s="6">
        <f>IF(AND(F576&lt;&gt;"",F576&gt;0,U576&lt;&gt;""),ROUND((U576-N(K576))/(F576/60),0),"")</f>
        <v/>
      </c>
      <c r="W576" s="6">
        <f>IF(U576&lt;&gt;"",ROUND(N(K576)/U576*100,1),"")</f>
        <v/>
      </c>
    </row>
    <row r="577">
      <c r="A577" s="3" t="n"/>
      <c r="B577" s="4" t="n"/>
      <c r="C577" s="4" t="n"/>
      <c r="D577" s="5" t="n"/>
      <c r="E577" s="5" t="n"/>
      <c r="F577" s="6">
        <f>IF(AND(D577&lt;&gt;"",E577&lt;&gt;""),ROUND((E577-D577)*1440,0),"")</f>
        <v/>
      </c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6">
        <f>IF(C577="착유장",기준값!$B$3,IF(C577="건유·육성우동",기준값!$B$2,""))</f>
        <v/>
      </c>
      <c r="V577" s="6">
        <f>IF(AND(F577&lt;&gt;"",F577&gt;0,U577&lt;&gt;""),ROUND((U577-N(K577))/(F577/60),0),"")</f>
        <v/>
      </c>
      <c r="W577" s="6">
        <f>IF(U577&lt;&gt;"",ROUND(N(K577)/U577*100,1),"")</f>
        <v/>
      </c>
    </row>
    <row r="578">
      <c r="A578" s="3" t="n"/>
      <c r="B578" s="4" t="n"/>
      <c r="C578" s="4" t="n"/>
      <c r="D578" s="5" t="n"/>
      <c r="E578" s="5" t="n"/>
      <c r="F578" s="6">
        <f>IF(AND(D578&lt;&gt;"",E578&lt;&gt;""),ROUND((E578-D578)*1440,0),"")</f>
        <v/>
      </c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6">
        <f>IF(C578="착유장",기준값!$B$3,IF(C578="건유·육성우동",기준값!$B$2,""))</f>
        <v/>
      </c>
      <c r="V578" s="6">
        <f>IF(AND(F578&lt;&gt;"",F578&gt;0,U578&lt;&gt;""),ROUND((U578-N(K578))/(F578/60),0),"")</f>
        <v/>
      </c>
      <c r="W578" s="6">
        <f>IF(U578&lt;&gt;"",ROUND(N(K578)/U578*100,1),"")</f>
        <v/>
      </c>
    </row>
    <row r="579">
      <c r="A579" s="3" t="n"/>
      <c r="B579" s="4" t="n"/>
      <c r="C579" s="4" t="n"/>
      <c r="D579" s="5" t="n"/>
      <c r="E579" s="5" t="n"/>
      <c r="F579" s="6">
        <f>IF(AND(D579&lt;&gt;"",E579&lt;&gt;""),ROUND((E579-D579)*1440,0),"")</f>
        <v/>
      </c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6">
        <f>IF(C579="착유장",기준값!$B$3,IF(C579="건유·육성우동",기준값!$B$2,""))</f>
        <v/>
      </c>
      <c r="V579" s="6">
        <f>IF(AND(F579&lt;&gt;"",F579&gt;0,U579&lt;&gt;""),ROUND((U579-N(K579))/(F579/60),0),"")</f>
        <v/>
      </c>
      <c r="W579" s="6">
        <f>IF(U579&lt;&gt;"",ROUND(N(K579)/U579*100,1),"")</f>
        <v/>
      </c>
    </row>
    <row r="580">
      <c r="A580" s="3" t="n"/>
      <c r="B580" s="4" t="n"/>
      <c r="C580" s="4" t="n"/>
      <c r="D580" s="5" t="n"/>
      <c r="E580" s="5" t="n"/>
      <c r="F580" s="6">
        <f>IF(AND(D580&lt;&gt;"",E580&lt;&gt;""),ROUND((E580-D580)*1440,0),"")</f>
        <v/>
      </c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6">
        <f>IF(C580="착유장",기준값!$B$3,IF(C580="건유·육성우동",기준값!$B$2,""))</f>
        <v/>
      </c>
      <c r="V580" s="6">
        <f>IF(AND(F580&lt;&gt;"",F580&gt;0,U580&lt;&gt;""),ROUND((U580-N(K580))/(F580/60),0),"")</f>
        <v/>
      </c>
      <c r="W580" s="6">
        <f>IF(U580&lt;&gt;"",ROUND(N(K580)/U580*100,1),"")</f>
        <v/>
      </c>
    </row>
    <row r="581">
      <c r="A581" s="3" t="n"/>
      <c r="B581" s="4" t="n"/>
      <c r="C581" s="4" t="n"/>
      <c r="D581" s="5" t="n"/>
      <c r="E581" s="5" t="n"/>
      <c r="F581" s="6">
        <f>IF(AND(D581&lt;&gt;"",E581&lt;&gt;""),ROUND((E581-D581)*1440,0),"")</f>
        <v/>
      </c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6">
        <f>IF(C581="착유장",기준값!$B$3,IF(C581="건유·육성우동",기준값!$B$2,""))</f>
        <v/>
      </c>
      <c r="V581" s="6">
        <f>IF(AND(F581&lt;&gt;"",F581&gt;0,U581&lt;&gt;""),ROUND((U581-N(K581))/(F581/60),0),"")</f>
        <v/>
      </c>
      <c r="W581" s="6">
        <f>IF(U581&lt;&gt;"",ROUND(N(K581)/U581*100,1),"")</f>
        <v/>
      </c>
    </row>
    <row r="582">
      <c r="A582" s="3" t="n"/>
      <c r="B582" s="4" t="n"/>
      <c r="C582" s="4" t="n"/>
      <c r="D582" s="5" t="n"/>
      <c r="E582" s="5" t="n"/>
      <c r="F582" s="6">
        <f>IF(AND(D582&lt;&gt;"",E582&lt;&gt;""),ROUND((E582-D582)*1440,0),"")</f>
        <v/>
      </c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6">
        <f>IF(C582="착유장",기준값!$B$3,IF(C582="건유·육성우동",기준값!$B$2,""))</f>
        <v/>
      </c>
      <c r="V582" s="6">
        <f>IF(AND(F582&lt;&gt;"",F582&gt;0,U582&lt;&gt;""),ROUND((U582-N(K582))/(F582/60),0),"")</f>
        <v/>
      </c>
      <c r="W582" s="6">
        <f>IF(U582&lt;&gt;"",ROUND(N(K582)/U582*100,1),"")</f>
        <v/>
      </c>
    </row>
    <row r="583">
      <c r="A583" s="3" t="n"/>
      <c r="B583" s="4" t="n"/>
      <c r="C583" s="4" t="n"/>
      <c r="D583" s="5" t="n"/>
      <c r="E583" s="5" t="n"/>
      <c r="F583" s="6">
        <f>IF(AND(D583&lt;&gt;"",E583&lt;&gt;""),ROUND((E583-D583)*1440,0),"")</f>
        <v/>
      </c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6">
        <f>IF(C583="착유장",기준값!$B$3,IF(C583="건유·육성우동",기준값!$B$2,""))</f>
        <v/>
      </c>
      <c r="V583" s="6">
        <f>IF(AND(F583&lt;&gt;"",F583&gt;0,U583&lt;&gt;""),ROUND((U583-N(K583))/(F583/60),0),"")</f>
        <v/>
      </c>
      <c r="W583" s="6">
        <f>IF(U583&lt;&gt;"",ROUND(N(K583)/U583*100,1),"")</f>
        <v/>
      </c>
    </row>
    <row r="584">
      <c r="A584" s="3" t="n"/>
      <c r="B584" s="4" t="n"/>
      <c r="C584" s="4" t="n"/>
      <c r="D584" s="5" t="n"/>
      <c r="E584" s="5" t="n"/>
      <c r="F584" s="6">
        <f>IF(AND(D584&lt;&gt;"",E584&lt;&gt;""),ROUND((E584-D584)*1440,0),"")</f>
        <v/>
      </c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6">
        <f>IF(C584="착유장",기준값!$B$3,IF(C584="건유·육성우동",기준값!$B$2,""))</f>
        <v/>
      </c>
      <c r="V584" s="6">
        <f>IF(AND(F584&lt;&gt;"",F584&gt;0,U584&lt;&gt;""),ROUND((U584-N(K584))/(F584/60),0),"")</f>
        <v/>
      </c>
      <c r="W584" s="6">
        <f>IF(U584&lt;&gt;"",ROUND(N(K584)/U584*100,1),"")</f>
        <v/>
      </c>
    </row>
    <row r="585">
      <c r="A585" s="3" t="n"/>
      <c r="B585" s="4" t="n"/>
      <c r="C585" s="4" t="n"/>
      <c r="D585" s="5" t="n"/>
      <c r="E585" s="5" t="n"/>
      <c r="F585" s="6">
        <f>IF(AND(D585&lt;&gt;"",E585&lt;&gt;""),ROUND((E585-D585)*1440,0),"")</f>
        <v/>
      </c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6">
        <f>IF(C585="착유장",기준값!$B$3,IF(C585="건유·육성우동",기준값!$B$2,""))</f>
        <v/>
      </c>
      <c r="V585" s="6">
        <f>IF(AND(F585&lt;&gt;"",F585&gt;0,U585&lt;&gt;""),ROUND((U585-N(K585))/(F585/60),0),"")</f>
        <v/>
      </c>
      <c r="W585" s="6">
        <f>IF(U585&lt;&gt;"",ROUND(N(K585)/U585*100,1),"")</f>
        <v/>
      </c>
    </row>
    <row r="586">
      <c r="A586" s="3" t="n"/>
      <c r="B586" s="4" t="n"/>
      <c r="C586" s="4" t="n"/>
      <c r="D586" s="5" t="n"/>
      <c r="E586" s="5" t="n"/>
      <c r="F586" s="6">
        <f>IF(AND(D586&lt;&gt;"",E586&lt;&gt;""),ROUND((E586-D586)*1440,0),"")</f>
        <v/>
      </c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6">
        <f>IF(C586="착유장",기준값!$B$3,IF(C586="건유·육성우동",기준값!$B$2,""))</f>
        <v/>
      </c>
      <c r="V586" s="6">
        <f>IF(AND(F586&lt;&gt;"",F586&gt;0,U586&lt;&gt;""),ROUND((U586-N(K586))/(F586/60),0),"")</f>
        <v/>
      </c>
      <c r="W586" s="6">
        <f>IF(U586&lt;&gt;"",ROUND(N(K586)/U586*100,1),"")</f>
        <v/>
      </c>
    </row>
    <row r="587">
      <c r="A587" s="3" t="n"/>
      <c r="B587" s="4" t="n"/>
      <c r="C587" s="4" t="n"/>
      <c r="D587" s="5" t="n"/>
      <c r="E587" s="5" t="n"/>
      <c r="F587" s="6">
        <f>IF(AND(D587&lt;&gt;"",E587&lt;&gt;""),ROUND((E587-D587)*1440,0),"")</f>
        <v/>
      </c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6">
        <f>IF(C587="착유장",기준값!$B$3,IF(C587="건유·육성우동",기준값!$B$2,""))</f>
        <v/>
      </c>
      <c r="V587" s="6">
        <f>IF(AND(F587&lt;&gt;"",F587&gt;0,U587&lt;&gt;""),ROUND((U587-N(K587))/(F587/60),0),"")</f>
        <v/>
      </c>
      <c r="W587" s="6">
        <f>IF(U587&lt;&gt;"",ROUND(N(K587)/U587*100,1),"")</f>
        <v/>
      </c>
    </row>
    <row r="588">
      <c r="A588" s="3" t="n"/>
      <c r="B588" s="4" t="n"/>
      <c r="C588" s="4" t="n"/>
      <c r="D588" s="5" t="n"/>
      <c r="E588" s="5" t="n"/>
      <c r="F588" s="6">
        <f>IF(AND(D588&lt;&gt;"",E588&lt;&gt;""),ROUND((E588-D588)*1440,0),"")</f>
        <v/>
      </c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6">
        <f>IF(C588="착유장",기준값!$B$3,IF(C588="건유·육성우동",기준값!$B$2,""))</f>
        <v/>
      </c>
      <c r="V588" s="6">
        <f>IF(AND(F588&lt;&gt;"",F588&gt;0,U588&lt;&gt;""),ROUND((U588-N(K588))/(F588/60),0),"")</f>
        <v/>
      </c>
      <c r="W588" s="6">
        <f>IF(U588&lt;&gt;"",ROUND(N(K588)/U588*100,1),"")</f>
        <v/>
      </c>
    </row>
    <row r="589">
      <c r="A589" s="3" t="n"/>
      <c r="B589" s="4" t="n"/>
      <c r="C589" s="4" t="n"/>
      <c r="D589" s="5" t="n"/>
      <c r="E589" s="5" t="n"/>
      <c r="F589" s="6">
        <f>IF(AND(D589&lt;&gt;"",E589&lt;&gt;""),ROUND((E589-D589)*1440,0),"")</f>
        <v/>
      </c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6">
        <f>IF(C589="착유장",기준값!$B$3,IF(C589="건유·육성우동",기준값!$B$2,""))</f>
        <v/>
      </c>
      <c r="V589" s="6">
        <f>IF(AND(F589&lt;&gt;"",F589&gt;0,U589&lt;&gt;""),ROUND((U589-N(K589))/(F589/60),0),"")</f>
        <v/>
      </c>
      <c r="W589" s="6">
        <f>IF(U589&lt;&gt;"",ROUND(N(K589)/U589*100,1),"")</f>
        <v/>
      </c>
    </row>
    <row r="590">
      <c r="A590" s="3" t="n"/>
      <c r="B590" s="4" t="n"/>
      <c r="C590" s="4" t="n"/>
      <c r="D590" s="5" t="n"/>
      <c r="E590" s="5" t="n"/>
      <c r="F590" s="6">
        <f>IF(AND(D590&lt;&gt;"",E590&lt;&gt;""),ROUND((E590-D590)*1440,0),"")</f>
        <v/>
      </c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6">
        <f>IF(C590="착유장",기준값!$B$3,IF(C590="건유·육성우동",기준값!$B$2,""))</f>
        <v/>
      </c>
      <c r="V590" s="6">
        <f>IF(AND(F590&lt;&gt;"",F590&gt;0,U590&lt;&gt;""),ROUND((U590-N(K590))/(F590/60),0),"")</f>
        <v/>
      </c>
      <c r="W590" s="6">
        <f>IF(U590&lt;&gt;"",ROUND(N(K590)/U590*100,1),"")</f>
        <v/>
      </c>
    </row>
    <row r="591">
      <c r="A591" s="3" t="n"/>
      <c r="B591" s="4" t="n"/>
      <c r="C591" s="4" t="n"/>
      <c r="D591" s="5" t="n"/>
      <c r="E591" s="5" t="n"/>
      <c r="F591" s="6">
        <f>IF(AND(D591&lt;&gt;"",E591&lt;&gt;""),ROUND((E591-D591)*1440,0),"")</f>
        <v/>
      </c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6">
        <f>IF(C591="착유장",기준값!$B$3,IF(C591="건유·육성우동",기준값!$B$2,""))</f>
        <v/>
      </c>
      <c r="V591" s="6">
        <f>IF(AND(F591&lt;&gt;"",F591&gt;0,U591&lt;&gt;""),ROUND((U591-N(K591))/(F591/60),0),"")</f>
        <v/>
      </c>
      <c r="W591" s="6">
        <f>IF(U591&lt;&gt;"",ROUND(N(K591)/U591*100,1),"")</f>
        <v/>
      </c>
    </row>
    <row r="592">
      <c r="A592" s="3" t="n"/>
      <c r="B592" s="4" t="n"/>
      <c r="C592" s="4" t="n"/>
      <c r="D592" s="5" t="n"/>
      <c r="E592" s="5" t="n"/>
      <c r="F592" s="6">
        <f>IF(AND(D592&lt;&gt;"",E592&lt;&gt;""),ROUND((E592-D592)*1440,0),"")</f>
        <v/>
      </c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6">
        <f>IF(C592="착유장",기준값!$B$3,IF(C592="건유·육성우동",기준값!$B$2,""))</f>
        <v/>
      </c>
      <c r="V592" s="6">
        <f>IF(AND(F592&lt;&gt;"",F592&gt;0,U592&lt;&gt;""),ROUND((U592-N(K592))/(F592/60),0),"")</f>
        <v/>
      </c>
      <c r="W592" s="6">
        <f>IF(U592&lt;&gt;"",ROUND(N(K592)/U592*100,1),"")</f>
        <v/>
      </c>
    </row>
    <row r="593">
      <c r="A593" s="3" t="n"/>
      <c r="B593" s="4" t="n"/>
      <c r="C593" s="4" t="n"/>
      <c r="D593" s="5" t="n"/>
      <c r="E593" s="5" t="n"/>
      <c r="F593" s="6">
        <f>IF(AND(D593&lt;&gt;"",E593&lt;&gt;""),ROUND((E593-D593)*1440,0),"")</f>
        <v/>
      </c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6">
        <f>IF(C593="착유장",기준값!$B$3,IF(C593="건유·육성우동",기준값!$B$2,""))</f>
        <v/>
      </c>
      <c r="V593" s="6">
        <f>IF(AND(F593&lt;&gt;"",F593&gt;0,U593&lt;&gt;""),ROUND((U593-N(K593))/(F593/60),0),"")</f>
        <v/>
      </c>
      <c r="W593" s="6">
        <f>IF(U593&lt;&gt;"",ROUND(N(K593)/U593*100,1),"")</f>
        <v/>
      </c>
    </row>
    <row r="594">
      <c r="A594" s="3" t="n"/>
      <c r="B594" s="4" t="n"/>
      <c r="C594" s="4" t="n"/>
      <c r="D594" s="5" t="n"/>
      <c r="E594" s="5" t="n"/>
      <c r="F594" s="6">
        <f>IF(AND(D594&lt;&gt;"",E594&lt;&gt;""),ROUND((E594-D594)*1440,0),"")</f>
        <v/>
      </c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6">
        <f>IF(C594="착유장",기준값!$B$3,IF(C594="건유·육성우동",기준값!$B$2,""))</f>
        <v/>
      </c>
      <c r="V594" s="6">
        <f>IF(AND(F594&lt;&gt;"",F594&gt;0,U594&lt;&gt;""),ROUND((U594-N(K594))/(F594/60),0),"")</f>
        <v/>
      </c>
      <c r="W594" s="6">
        <f>IF(U594&lt;&gt;"",ROUND(N(K594)/U594*100,1),"")</f>
        <v/>
      </c>
    </row>
    <row r="595">
      <c r="A595" s="3" t="n"/>
      <c r="B595" s="4" t="n"/>
      <c r="C595" s="4" t="n"/>
      <c r="D595" s="5" t="n"/>
      <c r="E595" s="5" t="n"/>
      <c r="F595" s="6">
        <f>IF(AND(D595&lt;&gt;"",E595&lt;&gt;""),ROUND((E595-D595)*1440,0),"")</f>
        <v/>
      </c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6">
        <f>IF(C595="착유장",기준값!$B$3,IF(C595="건유·육성우동",기준값!$B$2,""))</f>
        <v/>
      </c>
      <c r="V595" s="6">
        <f>IF(AND(F595&lt;&gt;"",F595&gt;0,U595&lt;&gt;""),ROUND((U595-N(K595))/(F595/60),0),"")</f>
        <v/>
      </c>
      <c r="W595" s="6">
        <f>IF(U595&lt;&gt;"",ROUND(N(K595)/U595*100,1),"")</f>
        <v/>
      </c>
    </row>
    <row r="596">
      <c r="A596" s="3" t="n"/>
      <c r="B596" s="4" t="n"/>
      <c r="C596" s="4" t="n"/>
      <c r="D596" s="5" t="n"/>
      <c r="E596" s="5" t="n"/>
      <c r="F596" s="6">
        <f>IF(AND(D596&lt;&gt;"",E596&lt;&gt;""),ROUND((E596-D596)*1440,0),"")</f>
        <v/>
      </c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6">
        <f>IF(C596="착유장",기준값!$B$3,IF(C596="건유·육성우동",기준값!$B$2,""))</f>
        <v/>
      </c>
      <c r="V596" s="6">
        <f>IF(AND(F596&lt;&gt;"",F596&gt;0,U596&lt;&gt;""),ROUND((U596-N(K596))/(F596/60),0),"")</f>
        <v/>
      </c>
      <c r="W596" s="6">
        <f>IF(U596&lt;&gt;"",ROUND(N(K596)/U596*100,1),"")</f>
        <v/>
      </c>
    </row>
    <row r="597">
      <c r="A597" s="3" t="n"/>
      <c r="B597" s="4" t="n"/>
      <c r="C597" s="4" t="n"/>
      <c r="D597" s="5" t="n"/>
      <c r="E597" s="5" t="n"/>
      <c r="F597" s="6">
        <f>IF(AND(D597&lt;&gt;"",E597&lt;&gt;""),ROUND((E597-D597)*1440,0),"")</f>
        <v/>
      </c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6">
        <f>IF(C597="착유장",기준값!$B$3,IF(C597="건유·육성우동",기준값!$B$2,""))</f>
        <v/>
      </c>
      <c r="V597" s="6">
        <f>IF(AND(F597&lt;&gt;"",F597&gt;0,U597&lt;&gt;""),ROUND((U597-N(K597))/(F597/60),0),"")</f>
        <v/>
      </c>
      <c r="W597" s="6">
        <f>IF(U597&lt;&gt;"",ROUND(N(K597)/U597*100,1),"")</f>
        <v/>
      </c>
    </row>
    <row r="598">
      <c r="A598" s="3" t="n"/>
      <c r="B598" s="4" t="n"/>
      <c r="C598" s="4" t="n"/>
      <c r="D598" s="5" t="n"/>
      <c r="E598" s="5" t="n"/>
      <c r="F598" s="6">
        <f>IF(AND(D598&lt;&gt;"",E598&lt;&gt;""),ROUND((E598-D598)*1440,0),"")</f>
        <v/>
      </c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6">
        <f>IF(C598="착유장",기준값!$B$3,IF(C598="건유·육성우동",기준값!$B$2,""))</f>
        <v/>
      </c>
      <c r="V598" s="6">
        <f>IF(AND(F598&lt;&gt;"",F598&gt;0,U598&lt;&gt;""),ROUND((U598-N(K598))/(F598/60),0),"")</f>
        <v/>
      </c>
      <c r="W598" s="6">
        <f>IF(U598&lt;&gt;"",ROUND(N(K598)/U598*100,1),"")</f>
        <v/>
      </c>
    </row>
    <row r="599">
      <c r="A599" s="3" t="n"/>
      <c r="B599" s="4" t="n"/>
      <c r="C599" s="4" t="n"/>
      <c r="D599" s="5" t="n"/>
      <c r="E599" s="5" t="n"/>
      <c r="F599" s="6">
        <f>IF(AND(D599&lt;&gt;"",E599&lt;&gt;""),ROUND((E599-D599)*1440,0),"")</f>
        <v/>
      </c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6">
        <f>IF(C599="착유장",기준값!$B$3,IF(C599="건유·육성우동",기준값!$B$2,""))</f>
        <v/>
      </c>
      <c r="V599" s="6">
        <f>IF(AND(F599&lt;&gt;"",F599&gt;0,U599&lt;&gt;""),ROUND((U599-N(K599))/(F599/60),0),"")</f>
        <v/>
      </c>
      <c r="W599" s="6">
        <f>IF(U599&lt;&gt;"",ROUND(N(K599)/U599*100,1),"")</f>
        <v/>
      </c>
    </row>
    <row r="600">
      <c r="A600" s="3" t="n"/>
      <c r="B600" s="4" t="n"/>
      <c r="C600" s="4" t="n"/>
      <c r="D600" s="5" t="n"/>
      <c r="E600" s="5" t="n"/>
      <c r="F600" s="6">
        <f>IF(AND(D600&lt;&gt;"",E600&lt;&gt;""),ROUND((E600-D600)*1440,0),"")</f>
        <v/>
      </c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6">
        <f>IF(C600="착유장",기준값!$B$3,IF(C600="건유·육성우동",기준값!$B$2,""))</f>
        <v/>
      </c>
      <c r="V600" s="6">
        <f>IF(AND(F600&lt;&gt;"",F600&gt;0,U600&lt;&gt;""),ROUND((U600-N(K600))/(F600/60),0),"")</f>
        <v/>
      </c>
      <c r="W600" s="6">
        <f>IF(U600&lt;&gt;"",ROUND(N(K600)/U600*100,1),"")</f>
        <v/>
      </c>
    </row>
    <row r="601">
      <c r="A601" s="3" t="n"/>
      <c r="B601" s="4" t="n"/>
      <c r="C601" s="4" t="n"/>
      <c r="D601" s="5" t="n"/>
      <c r="E601" s="5" t="n"/>
      <c r="F601" s="6">
        <f>IF(AND(D601&lt;&gt;"",E601&lt;&gt;""),ROUND((E601-D601)*1440,0),"")</f>
        <v/>
      </c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6">
        <f>IF(C601="착유장",기준값!$B$3,IF(C601="건유·육성우동",기준값!$B$2,""))</f>
        <v/>
      </c>
      <c r="V601" s="6">
        <f>IF(AND(F601&lt;&gt;"",F601&gt;0,U601&lt;&gt;""),ROUND((U601-N(K601))/(F601/60),0),"")</f>
        <v/>
      </c>
      <c r="W601" s="6">
        <f>IF(U601&lt;&gt;"",ROUND(N(K601)/U601*100,1),"")</f>
        <v/>
      </c>
    </row>
    <row r="602">
      <c r="A602" s="3" t="n"/>
      <c r="B602" s="4" t="n"/>
      <c r="C602" s="4" t="n"/>
      <c r="D602" s="5" t="n"/>
      <c r="E602" s="5" t="n"/>
      <c r="F602" s="6">
        <f>IF(AND(D602&lt;&gt;"",E602&lt;&gt;""),ROUND((E602-D602)*1440,0),"")</f>
        <v/>
      </c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6">
        <f>IF(C602="착유장",기준값!$B$3,IF(C602="건유·육성우동",기준값!$B$2,""))</f>
        <v/>
      </c>
      <c r="V602" s="6">
        <f>IF(AND(F602&lt;&gt;"",F602&gt;0,U602&lt;&gt;""),ROUND((U602-N(K602))/(F602/60),0),"")</f>
        <v/>
      </c>
      <c r="W602" s="6">
        <f>IF(U602&lt;&gt;"",ROUND(N(K602)/U602*100,1),"")</f>
        <v/>
      </c>
    </row>
    <row r="603">
      <c r="A603" s="3" t="n"/>
      <c r="B603" s="4" t="n"/>
      <c r="C603" s="4" t="n"/>
      <c r="D603" s="5" t="n"/>
      <c r="E603" s="5" t="n"/>
      <c r="F603" s="6">
        <f>IF(AND(D603&lt;&gt;"",E603&lt;&gt;""),ROUND((E603-D603)*1440,0),"")</f>
        <v/>
      </c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6">
        <f>IF(C603="착유장",기준값!$B$3,IF(C603="건유·육성우동",기준값!$B$2,""))</f>
        <v/>
      </c>
      <c r="V603" s="6">
        <f>IF(AND(F603&lt;&gt;"",F603&gt;0,U603&lt;&gt;""),ROUND((U603-N(K603))/(F603/60),0),"")</f>
        <v/>
      </c>
      <c r="W603" s="6">
        <f>IF(U603&lt;&gt;"",ROUND(N(K603)/U603*100,1),"")</f>
        <v/>
      </c>
    </row>
    <row r="604">
      <c r="A604" s="3" t="n"/>
      <c r="B604" s="4" t="n"/>
      <c r="C604" s="4" t="n"/>
      <c r="D604" s="5" t="n"/>
      <c r="E604" s="5" t="n"/>
      <c r="F604" s="6">
        <f>IF(AND(D604&lt;&gt;"",E604&lt;&gt;""),ROUND((E604-D604)*1440,0),"")</f>
        <v/>
      </c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6">
        <f>IF(C604="착유장",기준값!$B$3,IF(C604="건유·육성우동",기준값!$B$2,""))</f>
        <v/>
      </c>
      <c r="V604" s="6">
        <f>IF(AND(F604&lt;&gt;"",F604&gt;0,U604&lt;&gt;""),ROUND((U604-N(K604))/(F604/60),0),"")</f>
        <v/>
      </c>
      <c r="W604" s="6">
        <f>IF(U604&lt;&gt;"",ROUND(N(K604)/U604*100,1),"")</f>
        <v/>
      </c>
    </row>
    <row r="605">
      <c r="A605" s="3" t="n"/>
      <c r="B605" s="4" t="n"/>
      <c r="C605" s="4" t="n"/>
      <c r="D605" s="5" t="n"/>
      <c r="E605" s="5" t="n"/>
      <c r="F605" s="6">
        <f>IF(AND(D605&lt;&gt;"",E605&lt;&gt;""),ROUND((E605-D605)*1440,0),"")</f>
        <v/>
      </c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6">
        <f>IF(C605="착유장",기준값!$B$3,IF(C605="건유·육성우동",기준값!$B$2,""))</f>
        <v/>
      </c>
      <c r="V605" s="6">
        <f>IF(AND(F605&lt;&gt;"",F605&gt;0,U605&lt;&gt;""),ROUND((U605-N(K605))/(F605/60),0),"")</f>
        <v/>
      </c>
      <c r="W605" s="6">
        <f>IF(U605&lt;&gt;"",ROUND(N(K605)/U605*100,1),"")</f>
        <v/>
      </c>
    </row>
    <row r="606">
      <c r="A606" s="3" t="n"/>
      <c r="B606" s="4" t="n"/>
      <c r="C606" s="4" t="n"/>
      <c r="D606" s="5" t="n"/>
      <c r="E606" s="5" t="n"/>
      <c r="F606" s="6">
        <f>IF(AND(D606&lt;&gt;"",E606&lt;&gt;""),ROUND((E606-D606)*1440,0),"")</f>
        <v/>
      </c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6">
        <f>IF(C606="착유장",기준값!$B$3,IF(C606="건유·육성우동",기준값!$B$2,""))</f>
        <v/>
      </c>
      <c r="V606" s="6">
        <f>IF(AND(F606&lt;&gt;"",F606&gt;0,U606&lt;&gt;""),ROUND((U606-N(K606))/(F606/60),0),"")</f>
        <v/>
      </c>
      <c r="W606" s="6">
        <f>IF(U606&lt;&gt;"",ROUND(N(K606)/U606*100,1),"")</f>
        <v/>
      </c>
    </row>
    <row r="607">
      <c r="A607" s="3" t="n"/>
      <c r="B607" s="4" t="n"/>
      <c r="C607" s="4" t="n"/>
      <c r="D607" s="5" t="n"/>
      <c r="E607" s="5" t="n"/>
      <c r="F607" s="6">
        <f>IF(AND(D607&lt;&gt;"",E607&lt;&gt;""),ROUND((E607-D607)*1440,0),"")</f>
        <v/>
      </c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6">
        <f>IF(C607="착유장",기준값!$B$3,IF(C607="건유·육성우동",기준값!$B$2,""))</f>
        <v/>
      </c>
      <c r="V607" s="6">
        <f>IF(AND(F607&lt;&gt;"",F607&gt;0,U607&lt;&gt;""),ROUND((U607-N(K607))/(F607/60),0),"")</f>
        <v/>
      </c>
      <c r="W607" s="6">
        <f>IF(U607&lt;&gt;"",ROUND(N(K607)/U607*100,1),"")</f>
        <v/>
      </c>
    </row>
    <row r="608">
      <c r="A608" s="3" t="n"/>
      <c r="B608" s="4" t="n"/>
      <c r="C608" s="4" t="n"/>
      <c r="D608" s="5" t="n"/>
      <c r="E608" s="5" t="n"/>
      <c r="F608" s="6">
        <f>IF(AND(D608&lt;&gt;"",E608&lt;&gt;""),ROUND((E608-D608)*1440,0),"")</f>
        <v/>
      </c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6">
        <f>IF(C608="착유장",기준값!$B$3,IF(C608="건유·육성우동",기준값!$B$2,""))</f>
        <v/>
      </c>
      <c r="V608" s="6">
        <f>IF(AND(F608&lt;&gt;"",F608&gt;0,U608&lt;&gt;""),ROUND((U608-N(K608))/(F608/60),0),"")</f>
        <v/>
      </c>
      <c r="W608" s="6">
        <f>IF(U608&lt;&gt;"",ROUND(N(K608)/U608*100,1),"")</f>
        <v/>
      </c>
    </row>
    <row r="609">
      <c r="A609" s="3" t="n"/>
      <c r="B609" s="4" t="n"/>
      <c r="C609" s="4" t="n"/>
      <c r="D609" s="5" t="n"/>
      <c r="E609" s="5" t="n"/>
      <c r="F609" s="6">
        <f>IF(AND(D609&lt;&gt;"",E609&lt;&gt;""),ROUND((E609-D609)*1440,0),"")</f>
        <v/>
      </c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6">
        <f>IF(C609="착유장",기준값!$B$3,IF(C609="건유·육성우동",기준값!$B$2,""))</f>
        <v/>
      </c>
      <c r="V609" s="6">
        <f>IF(AND(F609&lt;&gt;"",F609&gt;0,U609&lt;&gt;""),ROUND((U609-N(K609))/(F609/60),0),"")</f>
        <v/>
      </c>
      <c r="W609" s="6">
        <f>IF(U609&lt;&gt;"",ROUND(N(K609)/U609*100,1),"")</f>
        <v/>
      </c>
    </row>
    <row r="610">
      <c r="A610" s="3" t="n"/>
      <c r="B610" s="4" t="n"/>
      <c r="C610" s="4" t="n"/>
      <c r="D610" s="5" t="n"/>
      <c r="E610" s="5" t="n"/>
      <c r="F610" s="6">
        <f>IF(AND(D610&lt;&gt;"",E610&lt;&gt;""),ROUND((E610-D610)*1440,0),"")</f>
        <v/>
      </c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6">
        <f>IF(C610="착유장",기준값!$B$3,IF(C610="건유·육성우동",기준값!$B$2,""))</f>
        <v/>
      </c>
      <c r="V610" s="6">
        <f>IF(AND(F610&lt;&gt;"",F610&gt;0,U610&lt;&gt;""),ROUND((U610-N(K610))/(F610/60),0),"")</f>
        <v/>
      </c>
      <c r="W610" s="6">
        <f>IF(U610&lt;&gt;"",ROUND(N(K610)/U610*100,1),"")</f>
        <v/>
      </c>
    </row>
    <row r="611">
      <c r="A611" s="3" t="n"/>
      <c r="B611" s="4" t="n"/>
      <c r="C611" s="4" t="n"/>
      <c r="D611" s="5" t="n"/>
      <c r="E611" s="5" t="n"/>
      <c r="F611" s="6">
        <f>IF(AND(D611&lt;&gt;"",E611&lt;&gt;""),ROUND((E611-D611)*1440,0),"")</f>
        <v/>
      </c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6">
        <f>IF(C611="착유장",기준값!$B$3,IF(C611="건유·육성우동",기준값!$B$2,""))</f>
        <v/>
      </c>
      <c r="V611" s="6">
        <f>IF(AND(F611&lt;&gt;"",F611&gt;0,U611&lt;&gt;""),ROUND((U611-N(K611))/(F611/60),0),"")</f>
        <v/>
      </c>
      <c r="W611" s="6">
        <f>IF(U611&lt;&gt;"",ROUND(N(K611)/U611*100,1),"")</f>
        <v/>
      </c>
    </row>
    <row r="612">
      <c r="A612" s="3" t="n"/>
      <c r="B612" s="4" t="n"/>
      <c r="C612" s="4" t="n"/>
      <c r="D612" s="5" t="n"/>
      <c r="E612" s="5" t="n"/>
      <c r="F612" s="6">
        <f>IF(AND(D612&lt;&gt;"",E612&lt;&gt;""),ROUND((E612-D612)*1440,0),"")</f>
        <v/>
      </c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6">
        <f>IF(C612="착유장",기준값!$B$3,IF(C612="건유·육성우동",기준값!$B$2,""))</f>
        <v/>
      </c>
      <c r="V612" s="6">
        <f>IF(AND(F612&lt;&gt;"",F612&gt;0,U612&lt;&gt;""),ROUND((U612-N(K612))/(F612/60),0),"")</f>
        <v/>
      </c>
      <c r="W612" s="6">
        <f>IF(U612&lt;&gt;"",ROUND(N(K612)/U612*100,1),"")</f>
        <v/>
      </c>
    </row>
    <row r="613">
      <c r="A613" s="3" t="n"/>
      <c r="B613" s="4" t="n"/>
      <c r="C613" s="4" t="n"/>
      <c r="D613" s="5" t="n"/>
      <c r="E613" s="5" t="n"/>
      <c r="F613" s="6">
        <f>IF(AND(D613&lt;&gt;"",E613&lt;&gt;""),ROUND((E613-D613)*1440,0),"")</f>
        <v/>
      </c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6">
        <f>IF(C613="착유장",기준값!$B$3,IF(C613="건유·육성우동",기준값!$B$2,""))</f>
        <v/>
      </c>
      <c r="V613" s="6">
        <f>IF(AND(F613&lt;&gt;"",F613&gt;0,U613&lt;&gt;""),ROUND((U613-N(K613))/(F613/60),0),"")</f>
        <v/>
      </c>
      <c r="W613" s="6">
        <f>IF(U613&lt;&gt;"",ROUND(N(K613)/U613*100,1),"")</f>
        <v/>
      </c>
    </row>
    <row r="614">
      <c r="A614" s="3" t="n"/>
      <c r="B614" s="4" t="n"/>
      <c r="C614" s="4" t="n"/>
      <c r="D614" s="5" t="n"/>
      <c r="E614" s="5" t="n"/>
      <c r="F614" s="6">
        <f>IF(AND(D614&lt;&gt;"",E614&lt;&gt;""),ROUND((E614-D614)*1440,0),"")</f>
        <v/>
      </c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6">
        <f>IF(C614="착유장",기준값!$B$3,IF(C614="건유·육성우동",기준값!$B$2,""))</f>
        <v/>
      </c>
      <c r="V614" s="6">
        <f>IF(AND(F614&lt;&gt;"",F614&gt;0,U614&lt;&gt;""),ROUND((U614-N(K614))/(F614/60),0),"")</f>
        <v/>
      </c>
      <c r="W614" s="6">
        <f>IF(U614&lt;&gt;"",ROUND(N(K614)/U614*100,1),"")</f>
        <v/>
      </c>
    </row>
    <row r="615">
      <c r="A615" s="3" t="n"/>
      <c r="B615" s="4" t="n"/>
      <c r="C615" s="4" t="n"/>
      <c r="D615" s="5" t="n"/>
      <c r="E615" s="5" t="n"/>
      <c r="F615" s="6">
        <f>IF(AND(D615&lt;&gt;"",E615&lt;&gt;""),ROUND((E615-D615)*1440,0),"")</f>
        <v/>
      </c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6">
        <f>IF(C615="착유장",기준값!$B$3,IF(C615="건유·육성우동",기준값!$B$2,""))</f>
        <v/>
      </c>
      <c r="V615" s="6">
        <f>IF(AND(F615&lt;&gt;"",F615&gt;0,U615&lt;&gt;""),ROUND((U615-N(K615))/(F615/60),0),"")</f>
        <v/>
      </c>
      <c r="W615" s="6">
        <f>IF(U615&lt;&gt;"",ROUND(N(K615)/U615*100,1),"")</f>
        <v/>
      </c>
    </row>
    <row r="616">
      <c r="A616" s="3" t="n"/>
      <c r="B616" s="4" t="n"/>
      <c r="C616" s="4" t="n"/>
      <c r="D616" s="5" t="n"/>
      <c r="E616" s="5" t="n"/>
      <c r="F616" s="6">
        <f>IF(AND(D616&lt;&gt;"",E616&lt;&gt;""),ROUND((E616-D616)*1440,0),"")</f>
        <v/>
      </c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6">
        <f>IF(C616="착유장",기준값!$B$3,IF(C616="건유·육성우동",기준값!$B$2,""))</f>
        <v/>
      </c>
      <c r="V616" s="6">
        <f>IF(AND(F616&lt;&gt;"",F616&gt;0,U616&lt;&gt;""),ROUND((U616-N(K616))/(F616/60),0),"")</f>
        <v/>
      </c>
      <c r="W616" s="6">
        <f>IF(U616&lt;&gt;"",ROUND(N(K616)/U616*100,1),"")</f>
        <v/>
      </c>
    </row>
    <row r="617">
      <c r="A617" s="3" t="n"/>
      <c r="B617" s="4" t="n"/>
      <c r="C617" s="4" t="n"/>
      <c r="D617" s="5" t="n"/>
      <c r="E617" s="5" t="n"/>
      <c r="F617" s="6">
        <f>IF(AND(D617&lt;&gt;"",E617&lt;&gt;""),ROUND((E617-D617)*1440,0),"")</f>
        <v/>
      </c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6">
        <f>IF(C617="착유장",기준값!$B$3,IF(C617="건유·육성우동",기준값!$B$2,""))</f>
        <v/>
      </c>
      <c r="V617" s="6">
        <f>IF(AND(F617&lt;&gt;"",F617&gt;0,U617&lt;&gt;""),ROUND((U617-N(K617))/(F617/60),0),"")</f>
        <v/>
      </c>
      <c r="W617" s="6">
        <f>IF(U617&lt;&gt;"",ROUND(N(K617)/U617*100,1),"")</f>
        <v/>
      </c>
    </row>
    <row r="618">
      <c r="A618" s="3" t="n"/>
      <c r="B618" s="4" t="n"/>
      <c r="C618" s="4" t="n"/>
      <c r="D618" s="5" t="n"/>
      <c r="E618" s="5" t="n"/>
      <c r="F618" s="6">
        <f>IF(AND(D618&lt;&gt;"",E618&lt;&gt;""),ROUND((E618-D618)*1440,0),"")</f>
        <v/>
      </c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6">
        <f>IF(C618="착유장",기준값!$B$3,IF(C618="건유·육성우동",기준값!$B$2,""))</f>
        <v/>
      </c>
      <c r="V618" s="6">
        <f>IF(AND(F618&lt;&gt;"",F618&gt;0,U618&lt;&gt;""),ROUND((U618-N(K618))/(F618/60),0),"")</f>
        <v/>
      </c>
      <c r="W618" s="6">
        <f>IF(U618&lt;&gt;"",ROUND(N(K618)/U618*100,1),"")</f>
        <v/>
      </c>
    </row>
    <row r="619">
      <c r="A619" s="3" t="n"/>
      <c r="B619" s="4" t="n"/>
      <c r="C619" s="4" t="n"/>
      <c r="D619" s="5" t="n"/>
      <c r="E619" s="5" t="n"/>
      <c r="F619" s="6">
        <f>IF(AND(D619&lt;&gt;"",E619&lt;&gt;""),ROUND((E619-D619)*1440,0),"")</f>
        <v/>
      </c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6">
        <f>IF(C619="착유장",기준값!$B$3,IF(C619="건유·육성우동",기준값!$B$2,""))</f>
        <v/>
      </c>
      <c r="V619" s="6">
        <f>IF(AND(F619&lt;&gt;"",F619&gt;0,U619&lt;&gt;""),ROUND((U619-N(K619))/(F619/60),0),"")</f>
        <v/>
      </c>
      <c r="W619" s="6">
        <f>IF(U619&lt;&gt;"",ROUND(N(K619)/U619*100,1),"")</f>
        <v/>
      </c>
    </row>
    <row r="620">
      <c r="A620" s="3" t="n"/>
      <c r="B620" s="4" t="n"/>
      <c r="C620" s="4" t="n"/>
      <c r="D620" s="5" t="n"/>
      <c r="E620" s="5" t="n"/>
      <c r="F620" s="6">
        <f>IF(AND(D620&lt;&gt;"",E620&lt;&gt;""),ROUND((E620-D620)*1440,0),"")</f>
        <v/>
      </c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6">
        <f>IF(C620="착유장",기준값!$B$3,IF(C620="건유·육성우동",기준값!$B$2,""))</f>
        <v/>
      </c>
      <c r="V620" s="6">
        <f>IF(AND(F620&lt;&gt;"",F620&gt;0,U620&lt;&gt;""),ROUND((U620-N(K620))/(F620/60),0),"")</f>
        <v/>
      </c>
      <c r="W620" s="6">
        <f>IF(U620&lt;&gt;"",ROUND(N(K620)/U620*100,1),"")</f>
        <v/>
      </c>
    </row>
    <row r="621">
      <c r="A621" s="3" t="n"/>
      <c r="B621" s="4" t="n"/>
      <c r="C621" s="4" t="n"/>
      <c r="D621" s="5" t="n"/>
      <c r="E621" s="5" t="n"/>
      <c r="F621" s="6">
        <f>IF(AND(D621&lt;&gt;"",E621&lt;&gt;""),ROUND((E621-D621)*1440,0),"")</f>
        <v/>
      </c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6">
        <f>IF(C621="착유장",기준값!$B$3,IF(C621="건유·육성우동",기준값!$B$2,""))</f>
        <v/>
      </c>
      <c r="V621" s="6">
        <f>IF(AND(F621&lt;&gt;"",F621&gt;0,U621&lt;&gt;""),ROUND((U621-N(K621))/(F621/60),0),"")</f>
        <v/>
      </c>
      <c r="W621" s="6">
        <f>IF(U621&lt;&gt;"",ROUND(N(K621)/U621*100,1),"")</f>
        <v/>
      </c>
    </row>
    <row r="622">
      <c r="A622" s="3" t="n"/>
      <c r="B622" s="4" t="n"/>
      <c r="C622" s="4" t="n"/>
      <c r="D622" s="5" t="n"/>
      <c r="E622" s="5" t="n"/>
      <c r="F622" s="6">
        <f>IF(AND(D622&lt;&gt;"",E622&lt;&gt;""),ROUND((E622-D622)*1440,0),"")</f>
        <v/>
      </c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6">
        <f>IF(C622="착유장",기준값!$B$3,IF(C622="건유·육성우동",기준값!$B$2,""))</f>
        <v/>
      </c>
      <c r="V622" s="6">
        <f>IF(AND(F622&lt;&gt;"",F622&gt;0,U622&lt;&gt;""),ROUND((U622-N(K622))/(F622/60),0),"")</f>
        <v/>
      </c>
      <c r="W622" s="6">
        <f>IF(U622&lt;&gt;"",ROUND(N(K622)/U622*100,1),"")</f>
        <v/>
      </c>
    </row>
    <row r="623">
      <c r="A623" s="3" t="n"/>
      <c r="B623" s="4" t="n"/>
      <c r="C623" s="4" t="n"/>
      <c r="D623" s="5" t="n"/>
      <c r="E623" s="5" t="n"/>
      <c r="F623" s="6">
        <f>IF(AND(D623&lt;&gt;"",E623&lt;&gt;""),ROUND((E623-D623)*1440,0),"")</f>
        <v/>
      </c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6">
        <f>IF(C623="착유장",기준값!$B$3,IF(C623="건유·육성우동",기준값!$B$2,""))</f>
        <v/>
      </c>
      <c r="V623" s="6">
        <f>IF(AND(F623&lt;&gt;"",F623&gt;0,U623&lt;&gt;""),ROUND((U623-N(K623))/(F623/60),0),"")</f>
        <v/>
      </c>
      <c r="W623" s="6">
        <f>IF(U623&lt;&gt;"",ROUND(N(K623)/U623*100,1),"")</f>
        <v/>
      </c>
    </row>
    <row r="624">
      <c r="A624" s="3" t="n"/>
      <c r="B624" s="4" t="n"/>
      <c r="C624" s="4" t="n"/>
      <c r="D624" s="5" t="n"/>
      <c r="E624" s="5" t="n"/>
      <c r="F624" s="6">
        <f>IF(AND(D624&lt;&gt;"",E624&lt;&gt;""),ROUND((E624-D624)*1440,0),"")</f>
        <v/>
      </c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6">
        <f>IF(C624="착유장",기준값!$B$3,IF(C624="건유·육성우동",기준값!$B$2,""))</f>
        <v/>
      </c>
      <c r="V624" s="6">
        <f>IF(AND(F624&lt;&gt;"",F624&gt;0,U624&lt;&gt;""),ROUND((U624-N(K624))/(F624/60),0),"")</f>
        <v/>
      </c>
      <c r="W624" s="6">
        <f>IF(U624&lt;&gt;"",ROUND(N(K624)/U624*100,1),"")</f>
        <v/>
      </c>
    </row>
    <row r="625">
      <c r="A625" s="3" t="n"/>
      <c r="B625" s="4" t="n"/>
      <c r="C625" s="4" t="n"/>
      <c r="D625" s="5" t="n"/>
      <c r="E625" s="5" t="n"/>
      <c r="F625" s="6">
        <f>IF(AND(D625&lt;&gt;"",E625&lt;&gt;""),ROUND((E625-D625)*1440,0),"")</f>
        <v/>
      </c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6">
        <f>IF(C625="착유장",기준값!$B$3,IF(C625="건유·육성우동",기준값!$B$2,""))</f>
        <v/>
      </c>
      <c r="V625" s="6">
        <f>IF(AND(F625&lt;&gt;"",F625&gt;0,U625&lt;&gt;""),ROUND((U625-N(K625))/(F625/60),0),"")</f>
        <v/>
      </c>
      <c r="W625" s="6">
        <f>IF(U625&lt;&gt;"",ROUND(N(K625)/U625*100,1),"")</f>
        <v/>
      </c>
    </row>
    <row r="626">
      <c r="A626" s="3" t="n"/>
      <c r="B626" s="4" t="n"/>
      <c r="C626" s="4" t="n"/>
      <c r="D626" s="5" t="n"/>
      <c r="E626" s="5" t="n"/>
      <c r="F626" s="6">
        <f>IF(AND(D626&lt;&gt;"",E626&lt;&gt;""),ROUND((E626-D626)*1440,0),"")</f>
        <v/>
      </c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6">
        <f>IF(C626="착유장",기준값!$B$3,IF(C626="건유·육성우동",기준값!$B$2,""))</f>
        <v/>
      </c>
      <c r="V626" s="6">
        <f>IF(AND(F626&lt;&gt;"",F626&gt;0,U626&lt;&gt;""),ROUND((U626-N(K626))/(F626/60),0),"")</f>
        <v/>
      </c>
      <c r="W626" s="6">
        <f>IF(U626&lt;&gt;"",ROUND(N(K626)/U626*100,1),"")</f>
        <v/>
      </c>
    </row>
    <row r="627">
      <c r="A627" s="3" t="n"/>
      <c r="B627" s="4" t="n"/>
      <c r="C627" s="4" t="n"/>
      <c r="D627" s="5" t="n"/>
      <c r="E627" s="5" t="n"/>
      <c r="F627" s="6">
        <f>IF(AND(D627&lt;&gt;"",E627&lt;&gt;""),ROUND((E627-D627)*1440,0),"")</f>
        <v/>
      </c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6">
        <f>IF(C627="착유장",기준값!$B$3,IF(C627="건유·육성우동",기준값!$B$2,""))</f>
        <v/>
      </c>
      <c r="V627" s="6">
        <f>IF(AND(F627&lt;&gt;"",F627&gt;0,U627&lt;&gt;""),ROUND((U627-N(K627))/(F627/60),0),"")</f>
        <v/>
      </c>
      <c r="W627" s="6">
        <f>IF(U627&lt;&gt;"",ROUND(N(K627)/U627*100,1),"")</f>
        <v/>
      </c>
    </row>
    <row r="628">
      <c r="A628" s="3" t="n"/>
      <c r="B628" s="4" t="n"/>
      <c r="C628" s="4" t="n"/>
      <c r="D628" s="5" t="n"/>
      <c r="E628" s="5" t="n"/>
      <c r="F628" s="6">
        <f>IF(AND(D628&lt;&gt;"",E628&lt;&gt;""),ROUND((E628-D628)*1440,0),"")</f>
        <v/>
      </c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6">
        <f>IF(C628="착유장",기준값!$B$3,IF(C628="건유·육성우동",기준값!$B$2,""))</f>
        <v/>
      </c>
      <c r="V628" s="6">
        <f>IF(AND(F628&lt;&gt;"",F628&gt;0,U628&lt;&gt;""),ROUND((U628-N(K628))/(F628/60),0),"")</f>
        <v/>
      </c>
      <c r="W628" s="6">
        <f>IF(U628&lt;&gt;"",ROUND(N(K628)/U628*100,1),"")</f>
        <v/>
      </c>
    </row>
    <row r="629">
      <c r="A629" s="3" t="n"/>
      <c r="B629" s="4" t="n"/>
      <c r="C629" s="4" t="n"/>
      <c r="D629" s="5" t="n"/>
      <c r="E629" s="5" t="n"/>
      <c r="F629" s="6">
        <f>IF(AND(D629&lt;&gt;"",E629&lt;&gt;""),ROUND((E629-D629)*1440,0),"")</f>
        <v/>
      </c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6">
        <f>IF(C629="착유장",기준값!$B$3,IF(C629="건유·육성우동",기준값!$B$2,""))</f>
        <v/>
      </c>
      <c r="V629" s="6">
        <f>IF(AND(F629&lt;&gt;"",F629&gt;0,U629&lt;&gt;""),ROUND((U629-N(K629))/(F629/60),0),"")</f>
        <v/>
      </c>
      <c r="W629" s="6">
        <f>IF(U629&lt;&gt;"",ROUND(N(K629)/U629*100,1),"")</f>
        <v/>
      </c>
    </row>
    <row r="630">
      <c r="A630" s="3" t="n"/>
      <c r="B630" s="4" t="n"/>
      <c r="C630" s="4" t="n"/>
      <c r="D630" s="5" t="n"/>
      <c r="E630" s="5" t="n"/>
      <c r="F630" s="6">
        <f>IF(AND(D630&lt;&gt;"",E630&lt;&gt;""),ROUND((E630-D630)*1440,0),"")</f>
        <v/>
      </c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6">
        <f>IF(C630="착유장",기준값!$B$3,IF(C630="건유·육성우동",기준값!$B$2,""))</f>
        <v/>
      </c>
      <c r="V630" s="6">
        <f>IF(AND(F630&lt;&gt;"",F630&gt;0,U630&lt;&gt;""),ROUND((U630-N(K630))/(F630/60),0),"")</f>
        <v/>
      </c>
      <c r="W630" s="6">
        <f>IF(U630&lt;&gt;"",ROUND(N(K630)/U630*100,1),"")</f>
        <v/>
      </c>
    </row>
    <row r="631">
      <c r="A631" s="3" t="n"/>
      <c r="B631" s="4" t="n"/>
      <c r="C631" s="4" t="n"/>
      <c r="D631" s="5" t="n"/>
      <c r="E631" s="5" t="n"/>
      <c r="F631" s="6">
        <f>IF(AND(D631&lt;&gt;"",E631&lt;&gt;""),ROUND((E631-D631)*1440,0),"")</f>
        <v/>
      </c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6">
        <f>IF(C631="착유장",기준값!$B$3,IF(C631="건유·육성우동",기준값!$B$2,""))</f>
        <v/>
      </c>
      <c r="V631" s="6">
        <f>IF(AND(F631&lt;&gt;"",F631&gt;0,U631&lt;&gt;""),ROUND((U631-N(K631))/(F631/60),0),"")</f>
        <v/>
      </c>
      <c r="W631" s="6">
        <f>IF(U631&lt;&gt;"",ROUND(N(K631)/U631*100,1),"")</f>
        <v/>
      </c>
    </row>
    <row r="632">
      <c r="A632" s="3" t="n"/>
      <c r="B632" s="4" t="n"/>
      <c r="C632" s="4" t="n"/>
      <c r="D632" s="5" t="n"/>
      <c r="E632" s="5" t="n"/>
      <c r="F632" s="6">
        <f>IF(AND(D632&lt;&gt;"",E632&lt;&gt;""),ROUND((E632-D632)*1440,0),"")</f>
        <v/>
      </c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6">
        <f>IF(C632="착유장",기준값!$B$3,IF(C632="건유·육성우동",기준값!$B$2,""))</f>
        <v/>
      </c>
      <c r="V632" s="6">
        <f>IF(AND(F632&lt;&gt;"",F632&gt;0,U632&lt;&gt;""),ROUND((U632-N(K632))/(F632/60),0),"")</f>
        <v/>
      </c>
      <c r="W632" s="6">
        <f>IF(U632&lt;&gt;"",ROUND(N(K632)/U632*100,1),"")</f>
        <v/>
      </c>
    </row>
    <row r="633">
      <c r="A633" s="3" t="n"/>
      <c r="B633" s="4" t="n"/>
      <c r="C633" s="4" t="n"/>
      <c r="D633" s="5" t="n"/>
      <c r="E633" s="5" t="n"/>
      <c r="F633" s="6">
        <f>IF(AND(D633&lt;&gt;"",E633&lt;&gt;""),ROUND((E633-D633)*1440,0),"")</f>
        <v/>
      </c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6">
        <f>IF(C633="착유장",기준값!$B$3,IF(C633="건유·육성우동",기준값!$B$2,""))</f>
        <v/>
      </c>
      <c r="V633" s="6">
        <f>IF(AND(F633&lt;&gt;"",F633&gt;0,U633&lt;&gt;""),ROUND((U633-N(K633))/(F633/60),0),"")</f>
        <v/>
      </c>
      <c r="W633" s="6">
        <f>IF(U633&lt;&gt;"",ROUND(N(K633)/U633*100,1),"")</f>
        <v/>
      </c>
    </row>
    <row r="634">
      <c r="A634" s="3" t="n"/>
      <c r="B634" s="4" t="n"/>
      <c r="C634" s="4" t="n"/>
      <c r="D634" s="5" t="n"/>
      <c r="E634" s="5" t="n"/>
      <c r="F634" s="6">
        <f>IF(AND(D634&lt;&gt;"",E634&lt;&gt;""),ROUND((E634-D634)*1440,0),"")</f>
        <v/>
      </c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6">
        <f>IF(C634="착유장",기준값!$B$3,IF(C634="건유·육성우동",기준값!$B$2,""))</f>
        <v/>
      </c>
      <c r="V634" s="6">
        <f>IF(AND(F634&lt;&gt;"",F634&gt;0,U634&lt;&gt;""),ROUND((U634-N(K634))/(F634/60),0),"")</f>
        <v/>
      </c>
      <c r="W634" s="6">
        <f>IF(U634&lt;&gt;"",ROUND(N(K634)/U634*100,1),"")</f>
        <v/>
      </c>
    </row>
    <row r="635">
      <c r="A635" s="3" t="n"/>
      <c r="B635" s="4" t="n"/>
      <c r="C635" s="4" t="n"/>
      <c r="D635" s="5" t="n"/>
      <c r="E635" s="5" t="n"/>
      <c r="F635" s="6">
        <f>IF(AND(D635&lt;&gt;"",E635&lt;&gt;""),ROUND((E635-D635)*1440,0),"")</f>
        <v/>
      </c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6">
        <f>IF(C635="착유장",기준값!$B$3,IF(C635="건유·육성우동",기준값!$B$2,""))</f>
        <v/>
      </c>
      <c r="V635" s="6">
        <f>IF(AND(F635&lt;&gt;"",F635&gt;0,U635&lt;&gt;""),ROUND((U635-N(K635))/(F635/60),0),"")</f>
        <v/>
      </c>
      <c r="W635" s="6">
        <f>IF(U635&lt;&gt;"",ROUND(N(K635)/U635*100,1),"")</f>
        <v/>
      </c>
    </row>
    <row r="636">
      <c r="A636" s="3" t="n"/>
      <c r="B636" s="4" t="n"/>
      <c r="C636" s="4" t="n"/>
      <c r="D636" s="5" t="n"/>
      <c r="E636" s="5" t="n"/>
      <c r="F636" s="6">
        <f>IF(AND(D636&lt;&gt;"",E636&lt;&gt;""),ROUND((E636-D636)*1440,0),"")</f>
        <v/>
      </c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6">
        <f>IF(C636="착유장",기준값!$B$3,IF(C636="건유·육성우동",기준값!$B$2,""))</f>
        <v/>
      </c>
      <c r="V636" s="6">
        <f>IF(AND(F636&lt;&gt;"",F636&gt;0,U636&lt;&gt;""),ROUND((U636-N(K636))/(F636/60),0),"")</f>
        <v/>
      </c>
      <c r="W636" s="6">
        <f>IF(U636&lt;&gt;"",ROUND(N(K636)/U636*100,1),"")</f>
        <v/>
      </c>
    </row>
    <row r="637">
      <c r="A637" s="3" t="n"/>
      <c r="B637" s="4" t="n"/>
      <c r="C637" s="4" t="n"/>
      <c r="D637" s="5" t="n"/>
      <c r="E637" s="5" t="n"/>
      <c r="F637" s="6">
        <f>IF(AND(D637&lt;&gt;"",E637&lt;&gt;""),ROUND((E637-D637)*1440,0),"")</f>
        <v/>
      </c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6">
        <f>IF(C637="착유장",기준값!$B$3,IF(C637="건유·육성우동",기준값!$B$2,""))</f>
        <v/>
      </c>
      <c r="V637" s="6">
        <f>IF(AND(F637&lt;&gt;"",F637&gt;0,U637&lt;&gt;""),ROUND((U637-N(K637))/(F637/60),0),"")</f>
        <v/>
      </c>
      <c r="W637" s="6">
        <f>IF(U637&lt;&gt;"",ROUND(N(K637)/U637*100,1),"")</f>
        <v/>
      </c>
    </row>
    <row r="638">
      <c r="A638" s="3" t="n"/>
      <c r="B638" s="4" t="n"/>
      <c r="C638" s="4" t="n"/>
      <c r="D638" s="5" t="n"/>
      <c r="E638" s="5" t="n"/>
      <c r="F638" s="6">
        <f>IF(AND(D638&lt;&gt;"",E638&lt;&gt;""),ROUND((E638-D638)*1440,0),"")</f>
        <v/>
      </c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6">
        <f>IF(C638="착유장",기준값!$B$3,IF(C638="건유·육성우동",기준값!$B$2,""))</f>
        <v/>
      </c>
      <c r="V638" s="6">
        <f>IF(AND(F638&lt;&gt;"",F638&gt;0,U638&lt;&gt;""),ROUND((U638-N(K638))/(F638/60),0),"")</f>
        <v/>
      </c>
      <c r="W638" s="6">
        <f>IF(U638&lt;&gt;"",ROUND(N(K638)/U638*100,1),"")</f>
        <v/>
      </c>
    </row>
    <row r="639">
      <c r="A639" s="3" t="n"/>
      <c r="B639" s="4" t="n"/>
      <c r="C639" s="4" t="n"/>
      <c r="D639" s="5" t="n"/>
      <c r="E639" s="5" t="n"/>
      <c r="F639" s="6">
        <f>IF(AND(D639&lt;&gt;"",E639&lt;&gt;""),ROUND((E639-D639)*1440,0),"")</f>
        <v/>
      </c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6">
        <f>IF(C639="착유장",기준값!$B$3,IF(C639="건유·육성우동",기준값!$B$2,""))</f>
        <v/>
      </c>
      <c r="V639" s="6">
        <f>IF(AND(F639&lt;&gt;"",F639&gt;0,U639&lt;&gt;""),ROUND((U639-N(K639))/(F639/60),0),"")</f>
        <v/>
      </c>
      <c r="W639" s="6">
        <f>IF(U639&lt;&gt;"",ROUND(N(K639)/U639*100,1),"")</f>
        <v/>
      </c>
    </row>
    <row r="640">
      <c r="A640" s="3" t="n"/>
      <c r="B640" s="4" t="n"/>
      <c r="C640" s="4" t="n"/>
      <c r="D640" s="5" t="n"/>
      <c r="E640" s="5" t="n"/>
      <c r="F640" s="6">
        <f>IF(AND(D640&lt;&gt;"",E640&lt;&gt;""),ROUND((E640-D640)*1440,0),"")</f>
        <v/>
      </c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6">
        <f>IF(C640="착유장",기준값!$B$3,IF(C640="건유·육성우동",기준값!$B$2,""))</f>
        <v/>
      </c>
      <c r="V640" s="6">
        <f>IF(AND(F640&lt;&gt;"",F640&gt;0,U640&lt;&gt;""),ROUND((U640-N(K640))/(F640/60),0),"")</f>
        <v/>
      </c>
      <c r="W640" s="6">
        <f>IF(U640&lt;&gt;"",ROUND(N(K640)/U640*100,1),"")</f>
        <v/>
      </c>
    </row>
    <row r="641">
      <c r="A641" s="3" t="n"/>
      <c r="B641" s="4" t="n"/>
      <c r="C641" s="4" t="n"/>
      <c r="D641" s="5" t="n"/>
      <c r="E641" s="5" t="n"/>
      <c r="F641" s="6">
        <f>IF(AND(D641&lt;&gt;"",E641&lt;&gt;""),ROUND((E641-D641)*1440,0),"")</f>
        <v/>
      </c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6">
        <f>IF(C641="착유장",기준값!$B$3,IF(C641="건유·육성우동",기준값!$B$2,""))</f>
        <v/>
      </c>
      <c r="V641" s="6">
        <f>IF(AND(F641&lt;&gt;"",F641&gt;0,U641&lt;&gt;""),ROUND((U641-N(K641))/(F641/60),0),"")</f>
        <v/>
      </c>
      <c r="W641" s="6">
        <f>IF(U641&lt;&gt;"",ROUND(N(K641)/U641*100,1),"")</f>
        <v/>
      </c>
    </row>
    <row r="642">
      <c r="A642" s="3" t="n"/>
      <c r="B642" s="4" t="n"/>
      <c r="C642" s="4" t="n"/>
      <c r="D642" s="5" t="n"/>
      <c r="E642" s="5" t="n"/>
      <c r="F642" s="6">
        <f>IF(AND(D642&lt;&gt;"",E642&lt;&gt;""),ROUND((E642-D642)*1440,0),"")</f>
        <v/>
      </c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6">
        <f>IF(C642="착유장",기준값!$B$3,IF(C642="건유·육성우동",기준값!$B$2,""))</f>
        <v/>
      </c>
      <c r="V642" s="6">
        <f>IF(AND(F642&lt;&gt;"",F642&gt;0,U642&lt;&gt;""),ROUND((U642-N(K642))/(F642/60),0),"")</f>
        <v/>
      </c>
      <c r="W642" s="6">
        <f>IF(U642&lt;&gt;"",ROUND(N(K642)/U642*100,1),"")</f>
        <v/>
      </c>
    </row>
    <row r="643">
      <c r="A643" s="3" t="n"/>
      <c r="B643" s="4" t="n"/>
      <c r="C643" s="4" t="n"/>
      <c r="D643" s="5" t="n"/>
      <c r="E643" s="5" t="n"/>
      <c r="F643" s="6">
        <f>IF(AND(D643&lt;&gt;"",E643&lt;&gt;""),ROUND((E643-D643)*1440,0),"")</f>
        <v/>
      </c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6">
        <f>IF(C643="착유장",기준값!$B$3,IF(C643="건유·육성우동",기준값!$B$2,""))</f>
        <v/>
      </c>
      <c r="V643" s="6">
        <f>IF(AND(F643&lt;&gt;"",F643&gt;0,U643&lt;&gt;""),ROUND((U643-N(K643))/(F643/60),0),"")</f>
        <v/>
      </c>
      <c r="W643" s="6">
        <f>IF(U643&lt;&gt;"",ROUND(N(K643)/U643*100,1),"")</f>
        <v/>
      </c>
    </row>
    <row r="644">
      <c r="A644" s="3" t="n"/>
      <c r="B644" s="4" t="n"/>
      <c r="C644" s="4" t="n"/>
      <c r="D644" s="5" t="n"/>
      <c r="E644" s="5" t="n"/>
      <c r="F644" s="6">
        <f>IF(AND(D644&lt;&gt;"",E644&lt;&gt;""),ROUND((E644-D644)*1440,0),"")</f>
        <v/>
      </c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6">
        <f>IF(C644="착유장",기준값!$B$3,IF(C644="건유·육성우동",기준값!$B$2,""))</f>
        <v/>
      </c>
      <c r="V644" s="6">
        <f>IF(AND(F644&lt;&gt;"",F644&gt;0,U644&lt;&gt;""),ROUND((U644-N(K644))/(F644/60),0),"")</f>
        <v/>
      </c>
      <c r="W644" s="6">
        <f>IF(U644&lt;&gt;"",ROUND(N(K644)/U644*100,1),"")</f>
        <v/>
      </c>
    </row>
    <row r="645">
      <c r="A645" s="3" t="n"/>
      <c r="B645" s="4" t="n"/>
      <c r="C645" s="4" t="n"/>
      <c r="D645" s="5" t="n"/>
      <c r="E645" s="5" t="n"/>
      <c r="F645" s="6">
        <f>IF(AND(D645&lt;&gt;"",E645&lt;&gt;""),ROUND((E645-D645)*1440,0),"")</f>
        <v/>
      </c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6">
        <f>IF(C645="착유장",기준값!$B$3,IF(C645="건유·육성우동",기준값!$B$2,""))</f>
        <v/>
      </c>
      <c r="V645" s="6">
        <f>IF(AND(F645&lt;&gt;"",F645&gt;0,U645&lt;&gt;""),ROUND((U645-N(K645))/(F645/60),0),"")</f>
        <v/>
      </c>
      <c r="W645" s="6">
        <f>IF(U645&lt;&gt;"",ROUND(N(K645)/U645*100,1),"")</f>
        <v/>
      </c>
    </row>
    <row r="646">
      <c r="A646" s="3" t="n"/>
      <c r="B646" s="4" t="n"/>
      <c r="C646" s="4" t="n"/>
      <c r="D646" s="5" t="n"/>
      <c r="E646" s="5" t="n"/>
      <c r="F646" s="6">
        <f>IF(AND(D646&lt;&gt;"",E646&lt;&gt;""),ROUND((E646-D646)*1440,0),"")</f>
        <v/>
      </c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6">
        <f>IF(C646="착유장",기준값!$B$3,IF(C646="건유·육성우동",기준값!$B$2,""))</f>
        <v/>
      </c>
      <c r="V646" s="6">
        <f>IF(AND(F646&lt;&gt;"",F646&gt;0,U646&lt;&gt;""),ROUND((U646-N(K646))/(F646/60),0),"")</f>
        <v/>
      </c>
      <c r="W646" s="6">
        <f>IF(U646&lt;&gt;"",ROUND(N(K646)/U646*100,1),"")</f>
        <v/>
      </c>
    </row>
    <row r="647">
      <c r="A647" s="3" t="n"/>
      <c r="B647" s="4" t="n"/>
      <c r="C647" s="4" t="n"/>
      <c r="D647" s="5" t="n"/>
      <c r="E647" s="5" t="n"/>
      <c r="F647" s="6">
        <f>IF(AND(D647&lt;&gt;"",E647&lt;&gt;""),ROUND((E647-D647)*1440,0),"")</f>
        <v/>
      </c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6">
        <f>IF(C647="착유장",기준값!$B$3,IF(C647="건유·육성우동",기준값!$B$2,""))</f>
        <v/>
      </c>
      <c r="V647" s="6">
        <f>IF(AND(F647&lt;&gt;"",F647&gt;0,U647&lt;&gt;""),ROUND((U647-N(K647))/(F647/60),0),"")</f>
        <v/>
      </c>
      <c r="W647" s="6">
        <f>IF(U647&lt;&gt;"",ROUND(N(K647)/U647*100,1),"")</f>
        <v/>
      </c>
    </row>
    <row r="648">
      <c r="A648" s="3" t="n"/>
      <c r="B648" s="4" t="n"/>
      <c r="C648" s="4" t="n"/>
      <c r="D648" s="5" t="n"/>
      <c r="E648" s="5" t="n"/>
      <c r="F648" s="6">
        <f>IF(AND(D648&lt;&gt;"",E648&lt;&gt;""),ROUND((E648-D648)*1440,0),"")</f>
        <v/>
      </c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6">
        <f>IF(C648="착유장",기준값!$B$3,IF(C648="건유·육성우동",기준값!$B$2,""))</f>
        <v/>
      </c>
      <c r="V648" s="6">
        <f>IF(AND(F648&lt;&gt;"",F648&gt;0,U648&lt;&gt;""),ROUND((U648-N(K648))/(F648/60),0),"")</f>
        <v/>
      </c>
      <c r="W648" s="6">
        <f>IF(U648&lt;&gt;"",ROUND(N(K648)/U648*100,1),"")</f>
        <v/>
      </c>
    </row>
    <row r="649">
      <c r="A649" s="3" t="n"/>
      <c r="B649" s="4" t="n"/>
      <c r="C649" s="4" t="n"/>
      <c r="D649" s="5" t="n"/>
      <c r="E649" s="5" t="n"/>
      <c r="F649" s="6">
        <f>IF(AND(D649&lt;&gt;"",E649&lt;&gt;""),ROUND((E649-D649)*1440,0),"")</f>
        <v/>
      </c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6">
        <f>IF(C649="착유장",기준값!$B$3,IF(C649="건유·육성우동",기준값!$B$2,""))</f>
        <v/>
      </c>
      <c r="V649" s="6">
        <f>IF(AND(F649&lt;&gt;"",F649&gt;0,U649&lt;&gt;""),ROUND((U649-N(K649))/(F649/60),0),"")</f>
        <v/>
      </c>
      <c r="W649" s="6">
        <f>IF(U649&lt;&gt;"",ROUND(N(K649)/U649*100,1),"")</f>
        <v/>
      </c>
    </row>
    <row r="650">
      <c r="A650" s="3" t="n"/>
      <c r="B650" s="4" t="n"/>
      <c r="C650" s="4" t="n"/>
      <c r="D650" s="5" t="n"/>
      <c r="E650" s="5" t="n"/>
      <c r="F650" s="6">
        <f>IF(AND(D650&lt;&gt;"",E650&lt;&gt;""),ROUND((E650-D650)*1440,0),"")</f>
        <v/>
      </c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6">
        <f>IF(C650="착유장",기준값!$B$3,IF(C650="건유·육성우동",기준값!$B$2,""))</f>
        <v/>
      </c>
      <c r="V650" s="6">
        <f>IF(AND(F650&lt;&gt;"",F650&gt;0,U650&lt;&gt;""),ROUND((U650-N(K650))/(F650/60),0),"")</f>
        <v/>
      </c>
      <c r="W650" s="6">
        <f>IF(U650&lt;&gt;"",ROUND(N(K650)/U650*100,1),"")</f>
        <v/>
      </c>
    </row>
    <row r="651">
      <c r="A651" s="3" t="n"/>
      <c r="B651" s="4" t="n"/>
      <c r="C651" s="4" t="n"/>
      <c r="D651" s="5" t="n"/>
      <c r="E651" s="5" t="n"/>
      <c r="F651" s="6">
        <f>IF(AND(D651&lt;&gt;"",E651&lt;&gt;""),ROUND((E651-D651)*1440,0),"")</f>
        <v/>
      </c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6">
        <f>IF(C651="착유장",기준값!$B$3,IF(C651="건유·육성우동",기준값!$B$2,""))</f>
        <v/>
      </c>
      <c r="V651" s="6">
        <f>IF(AND(F651&lt;&gt;"",F651&gt;0,U651&lt;&gt;""),ROUND((U651-N(K651))/(F651/60),0),"")</f>
        <v/>
      </c>
      <c r="W651" s="6">
        <f>IF(U651&lt;&gt;"",ROUND(N(K651)/U651*100,1),"")</f>
        <v/>
      </c>
    </row>
    <row r="652">
      <c r="A652" s="3" t="n"/>
      <c r="B652" s="4" t="n"/>
      <c r="C652" s="4" t="n"/>
      <c r="D652" s="5" t="n"/>
      <c r="E652" s="5" t="n"/>
      <c r="F652" s="6">
        <f>IF(AND(D652&lt;&gt;"",E652&lt;&gt;""),ROUND((E652-D652)*1440,0),"")</f>
        <v/>
      </c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6">
        <f>IF(C652="착유장",기준값!$B$3,IF(C652="건유·육성우동",기준값!$B$2,""))</f>
        <v/>
      </c>
      <c r="V652" s="6">
        <f>IF(AND(F652&lt;&gt;"",F652&gt;0,U652&lt;&gt;""),ROUND((U652-N(K652))/(F652/60),0),"")</f>
        <v/>
      </c>
      <c r="W652" s="6">
        <f>IF(U652&lt;&gt;"",ROUND(N(K652)/U652*100,1),"")</f>
        <v/>
      </c>
    </row>
    <row r="653">
      <c r="A653" s="3" t="n"/>
      <c r="B653" s="4" t="n"/>
      <c r="C653" s="4" t="n"/>
      <c r="D653" s="5" t="n"/>
      <c r="E653" s="5" t="n"/>
      <c r="F653" s="6">
        <f>IF(AND(D653&lt;&gt;"",E653&lt;&gt;""),ROUND((E653-D653)*1440,0),"")</f>
        <v/>
      </c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6">
        <f>IF(C653="착유장",기준값!$B$3,IF(C653="건유·육성우동",기준값!$B$2,""))</f>
        <v/>
      </c>
      <c r="V653" s="6">
        <f>IF(AND(F653&lt;&gt;"",F653&gt;0,U653&lt;&gt;""),ROUND((U653-N(K653))/(F653/60),0),"")</f>
        <v/>
      </c>
      <c r="W653" s="6">
        <f>IF(U653&lt;&gt;"",ROUND(N(K653)/U653*100,1),"")</f>
        <v/>
      </c>
    </row>
    <row r="654">
      <c r="A654" s="3" t="n"/>
      <c r="B654" s="4" t="n"/>
      <c r="C654" s="4" t="n"/>
      <c r="D654" s="5" t="n"/>
      <c r="E654" s="5" t="n"/>
      <c r="F654" s="6">
        <f>IF(AND(D654&lt;&gt;"",E654&lt;&gt;""),ROUND((E654-D654)*1440,0),"")</f>
        <v/>
      </c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6">
        <f>IF(C654="착유장",기준값!$B$3,IF(C654="건유·육성우동",기준값!$B$2,""))</f>
        <v/>
      </c>
      <c r="V654" s="6">
        <f>IF(AND(F654&lt;&gt;"",F654&gt;0,U654&lt;&gt;""),ROUND((U654-N(K654))/(F654/60),0),"")</f>
        <v/>
      </c>
      <c r="W654" s="6">
        <f>IF(U654&lt;&gt;"",ROUND(N(K654)/U654*100,1),"")</f>
        <v/>
      </c>
    </row>
    <row r="655">
      <c r="A655" s="3" t="n"/>
      <c r="B655" s="4" t="n"/>
      <c r="C655" s="4" t="n"/>
      <c r="D655" s="5" t="n"/>
      <c r="E655" s="5" t="n"/>
      <c r="F655" s="6">
        <f>IF(AND(D655&lt;&gt;"",E655&lt;&gt;""),ROUND((E655-D655)*1440,0),"")</f>
        <v/>
      </c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6">
        <f>IF(C655="착유장",기준값!$B$3,IF(C655="건유·육성우동",기준값!$B$2,""))</f>
        <v/>
      </c>
      <c r="V655" s="6">
        <f>IF(AND(F655&lt;&gt;"",F655&gt;0,U655&lt;&gt;""),ROUND((U655-N(K655))/(F655/60),0),"")</f>
        <v/>
      </c>
      <c r="W655" s="6">
        <f>IF(U655&lt;&gt;"",ROUND(N(K655)/U655*100,1),"")</f>
        <v/>
      </c>
    </row>
    <row r="656">
      <c r="A656" s="3" t="n"/>
      <c r="B656" s="4" t="n"/>
      <c r="C656" s="4" t="n"/>
      <c r="D656" s="5" t="n"/>
      <c r="E656" s="5" t="n"/>
      <c r="F656" s="6">
        <f>IF(AND(D656&lt;&gt;"",E656&lt;&gt;""),ROUND((E656-D656)*1440,0),"")</f>
        <v/>
      </c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6">
        <f>IF(C656="착유장",기준값!$B$3,IF(C656="건유·육성우동",기준값!$B$2,""))</f>
        <v/>
      </c>
      <c r="V656" s="6">
        <f>IF(AND(F656&lt;&gt;"",F656&gt;0,U656&lt;&gt;""),ROUND((U656-N(K656))/(F656/60),0),"")</f>
        <v/>
      </c>
      <c r="W656" s="6">
        <f>IF(U656&lt;&gt;"",ROUND(N(K656)/U656*100,1),"")</f>
        <v/>
      </c>
    </row>
    <row r="657">
      <c r="A657" s="3" t="n"/>
      <c r="B657" s="4" t="n"/>
      <c r="C657" s="4" t="n"/>
      <c r="D657" s="5" t="n"/>
      <c r="E657" s="5" t="n"/>
      <c r="F657" s="6">
        <f>IF(AND(D657&lt;&gt;"",E657&lt;&gt;""),ROUND((E657-D657)*1440,0),"")</f>
        <v/>
      </c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6">
        <f>IF(C657="착유장",기준값!$B$3,IF(C657="건유·육성우동",기준값!$B$2,""))</f>
        <v/>
      </c>
      <c r="V657" s="6">
        <f>IF(AND(F657&lt;&gt;"",F657&gt;0,U657&lt;&gt;""),ROUND((U657-N(K657))/(F657/60),0),"")</f>
        <v/>
      </c>
      <c r="W657" s="6">
        <f>IF(U657&lt;&gt;"",ROUND(N(K657)/U657*100,1),"")</f>
        <v/>
      </c>
    </row>
    <row r="658">
      <c r="A658" s="3" t="n"/>
      <c r="B658" s="4" t="n"/>
      <c r="C658" s="4" t="n"/>
      <c r="D658" s="5" t="n"/>
      <c r="E658" s="5" t="n"/>
      <c r="F658" s="6">
        <f>IF(AND(D658&lt;&gt;"",E658&lt;&gt;""),ROUND((E658-D658)*1440,0),"")</f>
        <v/>
      </c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6">
        <f>IF(C658="착유장",기준값!$B$3,IF(C658="건유·육성우동",기준값!$B$2,""))</f>
        <v/>
      </c>
      <c r="V658" s="6">
        <f>IF(AND(F658&lt;&gt;"",F658&gt;0,U658&lt;&gt;""),ROUND((U658-N(K658))/(F658/60),0),"")</f>
        <v/>
      </c>
      <c r="W658" s="6">
        <f>IF(U658&lt;&gt;"",ROUND(N(K658)/U658*100,1),"")</f>
        <v/>
      </c>
    </row>
    <row r="659">
      <c r="A659" s="3" t="n"/>
      <c r="B659" s="4" t="n"/>
      <c r="C659" s="4" t="n"/>
      <c r="D659" s="5" t="n"/>
      <c r="E659" s="5" t="n"/>
      <c r="F659" s="6">
        <f>IF(AND(D659&lt;&gt;"",E659&lt;&gt;""),ROUND((E659-D659)*1440,0),"")</f>
        <v/>
      </c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6">
        <f>IF(C659="착유장",기준값!$B$3,IF(C659="건유·육성우동",기준값!$B$2,""))</f>
        <v/>
      </c>
      <c r="V659" s="6">
        <f>IF(AND(F659&lt;&gt;"",F659&gt;0,U659&lt;&gt;""),ROUND((U659-N(K659))/(F659/60),0),"")</f>
        <v/>
      </c>
      <c r="W659" s="6">
        <f>IF(U659&lt;&gt;"",ROUND(N(K659)/U659*100,1),"")</f>
        <v/>
      </c>
    </row>
    <row r="660">
      <c r="A660" s="3" t="n"/>
      <c r="B660" s="4" t="n"/>
      <c r="C660" s="4" t="n"/>
      <c r="D660" s="5" t="n"/>
      <c r="E660" s="5" t="n"/>
      <c r="F660" s="6">
        <f>IF(AND(D660&lt;&gt;"",E660&lt;&gt;""),ROUND((E660-D660)*1440,0),"")</f>
        <v/>
      </c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6">
        <f>IF(C660="착유장",기준값!$B$3,IF(C660="건유·육성우동",기준값!$B$2,""))</f>
        <v/>
      </c>
      <c r="V660" s="6">
        <f>IF(AND(F660&lt;&gt;"",F660&gt;0,U660&lt;&gt;""),ROUND((U660-N(K660))/(F660/60),0),"")</f>
        <v/>
      </c>
      <c r="W660" s="6">
        <f>IF(U660&lt;&gt;"",ROUND(N(K660)/U660*100,1),"")</f>
        <v/>
      </c>
    </row>
    <row r="661">
      <c r="A661" s="3" t="n"/>
      <c r="B661" s="4" t="n"/>
      <c r="C661" s="4" t="n"/>
      <c r="D661" s="5" t="n"/>
      <c r="E661" s="5" t="n"/>
      <c r="F661" s="6">
        <f>IF(AND(D661&lt;&gt;"",E661&lt;&gt;""),ROUND((E661-D661)*1440,0),"")</f>
        <v/>
      </c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6">
        <f>IF(C661="착유장",기준값!$B$3,IF(C661="건유·육성우동",기준값!$B$2,""))</f>
        <v/>
      </c>
      <c r="V661" s="6">
        <f>IF(AND(F661&lt;&gt;"",F661&gt;0,U661&lt;&gt;""),ROUND((U661-N(K661))/(F661/60),0),"")</f>
        <v/>
      </c>
      <c r="W661" s="6">
        <f>IF(U661&lt;&gt;"",ROUND(N(K661)/U661*100,1),"")</f>
        <v/>
      </c>
    </row>
    <row r="662">
      <c r="A662" s="3" t="n"/>
      <c r="B662" s="4" t="n"/>
      <c r="C662" s="4" t="n"/>
      <c r="D662" s="5" t="n"/>
      <c r="E662" s="5" t="n"/>
      <c r="F662" s="6">
        <f>IF(AND(D662&lt;&gt;"",E662&lt;&gt;""),ROUND((E662-D662)*1440,0),"")</f>
        <v/>
      </c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6">
        <f>IF(C662="착유장",기준값!$B$3,IF(C662="건유·육성우동",기준값!$B$2,""))</f>
        <v/>
      </c>
      <c r="V662" s="6">
        <f>IF(AND(F662&lt;&gt;"",F662&gt;0,U662&lt;&gt;""),ROUND((U662-N(K662))/(F662/60),0),"")</f>
        <v/>
      </c>
      <c r="W662" s="6">
        <f>IF(U662&lt;&gt;"",ROUND(N(K662)/U662*100,1),"")</f>
        <v/>
      </c>
    </row>
    <row r="663">
      <c r="A663" s="3" t="n"/>
      <c r="B663" s="4" t="n"/>
      <c r="C663" s="4" t="n"/>
      <c r="D663" s="5" t="n"/>
      <c r="E663" s="5" t="n"/>
      <c r="F663" s="6">
        <f>IF(AND(D663&lt;&gt;"",E663&lt;&gt;""),ROUND((E663-D663)*1440,0),"")</f>
        <v/>
      </c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6">
        <f>IF(C663="착유장",기준값!$B$3,IF(C663="건유·육성우동",기준값!$B$2,""))</f>
        <v/>
      </c>
      <c r="V663" s="6">
        <f>IF(AND(F663&lt;&gt;"",F663&gt;0,U663&lt;&gt;""),ROUND((U663-N(K663))/(F663/60),0),"")</f>
        <v/>
      </c>
      <c r="W663" s="6">
        <f>IF(U663&lt;&gt;"",ROUND(N(K663)/U663*100,1),"")</f>
        <v/>
      </c>
    </row>
    <row r="664">
      <c r="A664" s="3" t="n"/>
      <c r="B664" s="4" t="n"/>
      <c r="C664" s="4" t="n"/>
      <c r="D664" s="5" t="n"/>
      <c r="E664" s="5" t="n"/>
      <c r="F664" s="6">
        <f>IF(AND(D664&lt;&gt;"",E664&lt;&gt;""),ROUND((E664-D664)*1440,0),"")</f>
        <v/>
      </c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6">
        <f>IF(C664="착유장",기준값!$B$3,IF(C664="건유·육성우동",기준값!$B$2,""))</f>
        <v/>
      </c>
      <c r="V664" s="6">
        <f>IF(AND(F664&lt;&gt;"",F664&gt;0,U664&lt;&gt;""),ROUND((U664-N(K664))/(F664/60),0),"")</f>
        <v/>
      </c>
      <c r="W664" s="6">
        <f>IF(U664&lt;&gt;"",ROUND(N(K664)/U664*100,1),"")</f>
        <v/>
      </c>
    </row>
    <row r="665">
      <c r="A665" s="3" t="n"/>
      <c r="B665" s="4" t="n"/>
      <c r="C665" s="4" t="n"/>
      <c r="D665" s="5" t="n"/>
      <c r="E665" s="5" t="n"/>
      <c r="F665" s="6">
        <f>IF(AND(D665&lt;&gt;"",E665&lt;&gt;""),ROUND((E665-D665)*1440,0),"")</f>
        <v/>
      </c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6">
        <f>IF(C665="착유장",기준값!$B$3,IF(C665="건유·육성우동",기준값!$B$2,""))</f>
        <v/>
      </c>
      <c r="V665" s="6">
        <f>IF(AND(F665&lt;&gt;"",F665&gt;0,U665&lt;&gt;""),ROUND((U665-N(K665))/(F665/60),0),"")</f>
        <v/>
      </c>
      <c r="W665" s="6">
        <f>IF(U665&lt;&gt;"",ROUND(N(K665)/U665*100,1),"")</f>
        <v/>
      </c>
    </row>
    <row r="666">
      <c r="A666" s="3" t="n"/>
      <c r="B666" s="4" t="n"/>
      <c r="C666" s="4" t="n"/>
      <c r="D666" s="5" t="n"/>
      <c r="E666" s="5" t="n"/>
      <c r="F666" s="6">
        <f>IF(AND(D666&lt;&gt;"",E666&lt;&gt;""),ROUND((E666-D666)*1440,0),"")</f>
        <v/>
      </c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6">
        <f>IF(C666="착유장",기준값!$B$3,IF(C666="건유·육성우동",기준값!$B$2,""))</f>
        <v/>
      </c>
      <c r="V666" s="6">
        <f>IF(AND(F666&lt;&gt;"",F666&gt;0,U666&lt;&gt;""),ROUND((U666-N(K666))/(F666/60),0),"")</f>
        <v/>
      </c>
      <c r="W666" s="6">
        <f>IF(U666&lt;&gt;"",ROUND(N(K666)/U666*100,1),"")</f>
        <v/>
      </c>
    </row>
    <row r="667">
      <c r="A667" s="3" t="n"/>
      <c r="B667" s="4" t="n"/>
      <c r="C667" s="4" t="n"/>
      <c r="D667" s="5" t="n"/>
      <c r="E667" s="5" t="n"/>
      <c r="F667" s="6">
        <f>IF(AND(D667&lt;&gt;"",E667&lt;&gt;""),ROUND((E667-D667)*1440,0),"")</f>
        <v/>
      </c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6">
        <f>IF(C667="착유장",기준값!$B$3,IF(C667="건유·육성우동",기준값!$B$2,""))</f>
        <v/>
      </c>
      <c r="V667" s="6">
        <f>IF(AND(F667&lt;&gt;"",F667&gt;0,U667&lt;&gt;""),ROUND((U667-N(K667))/(F667/60),0),"")</f>
        <v/>
      </c>
      <c r="W667" s="6">
        <f>IF(U667&lt;&gt;"",ROUND(N(K667)/U667*100,1),"")</f>
        <v/>
      </c>
    </row>
    <row r="668">
      <c r="A668" s="3" t="n"/>
      <c r="B668" s="4" t="n"/>
      <c r="C668" s="4" t="n"/>
      <c r="D668" s="5" t="n"/>
      <c r="E668" s="5" t="n"/>
      <c r="F668" s="6">
        <f>IF(AND(D668&lt;&gt;"",E668&lt;&gt;""),ROUND((E668-D668)*1440,0),"")</f>
        <v/>
      </c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6">
        <f>IF(C668="착유장",기준값!$B$3,IF(C668="건유·육성우동",기준값!$B$2,""))</f>
        <v/>
      </c>
      <c r="V668" s="6">
        <f>IF(AND(F668&lt;&gt;"",F668&gt;0,U668&lt;&gt;""),ROUND((U668-N(K668))/(F668/60),0),"")</f>
        <v/>
      </c>
      <c r="W668" s="6">
        <f>IF(U668&lt;&gt;"",ROUND(N(K668)/U668*100,1),"")</f>
        <v/>
      </c>
    </row>
    <row r="669">
      <c r="A669" s="3" t="n"/>
      <c r="B669" s="4" t="n"/>
      <c r="C669" s="4" t="n"/>
      <c r="D669" s="5" t="n"/>
      <c r="E669" s="5" t="n"/>
      <c r="F669" s="6">
        <f>IF(AND(D669&lt;&gt;"",E669&lt;&gt;""),ROUND((E669-D669)*1440,0),"")</f>
        <v/>
      </c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6">
        <f>IF(C669="착유장",기준값!$B$3,IF(C669="건유·육성우동",기준값!$B$2,""))</f>
        <v/>
      </c>
      <c r="V669" s="6">
        <f>IF(AND(F669&lt;&gt;"",F669&gt;0,U669&lt;&gt;""),ROUND((U669-N(K669))/(F669/60),0),"")</f>
        <v/>
      </c>
      <c r="W669" s="6">
        <f>IF(U669&lt;&gt;"",ROUND(N(K669)/U669*100,1),"")</f>
        <v/>
      </c>
    </row>
    <row r="670">
      <c r="A670" s="3" t="n"/>
      <c r="B670" s="4" t="n"/>
      <c r="C670" s="4" t="n"/>
      <c r="D670" s="5" t="n"/>
      <c r="E670" s="5" t="n"/>
      <c r="F670" s="6">
        <f>IF(AND(D670&lt;&gt;"",E670&lt;&gt;""),ROUND((E670-D670)*1440,0),"")</f>
        <v/>
      </c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6">
        <f>IF(C670="착유장",기준값!$B$3,IF(C670="건유·육성우동",기준값!$B$2,""))</f>
        <v/>
      </c>
      <c r="V670" s="6">
        <f>IF(AND(F670&lt;&gt;"",F670&gt;0,U670&lt;&gt;""),ROUND((U670-N(K670))/(F670/60),0),"")</f>
        <v/>
      </c>
      <c r="W670" s="6">
        <f>IF(U670&lt;&gt;"",ROUND(N(K670)/U670*100,1),"")</f>
        <v/>
      </c>
    </row>
    <row r="671">
      <c r="A671" s="3" t="n"/>
      <c r="B671" s="4" t="n"/>
      <c r="C671" s="4" t="n"/>
      <c r="D671" s="5" t="n"/>
      <c r="E671" s="5" t="n"/>
      <c r="F671" s="6">
        <f>IF(AND(D671&lt;&gt;"",E671&lt;&gt;""),ROUND((E671-D671)*1440,0),"")</f>
        <v/>
      </c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6">
        <f>IF(C671="착유장",기준값!$B$3,IF(C671="건유·육성우동",기준값!$B$2,""))</f>
        <v/>
      </c>
      <c r="V671" s="6">
        <f>IF(AND(F671&lt;&gt;"",F671&gt;0,U671&lt;&gt;""),ROUND((U671-N(K671))/(F671/60),0),"")</f>
        <v/>
      </c>
      <c r="W671" s="6">
        <f>IF(U671&lt;&gt;"",ROUND(N(K671)/U671*100,1),"")</f>
        <v/>
      </c>
    </row>
    <row r="672">
      <c r="A672" s="3" t="n"/>
      <c r="B672" s="4" t="n"/>
      <c r="C672" s="4" t="n"/>
      <c r="D672" s="5" t="n"/>
      <c r="E672" s="5" t="n"/>
      <c r="F672" s="6">
        <f>IF(AND(D672&lt;&gt;"",E672&lt;&gt;""),ROUND((E672-D672)*1440,0),"")</f>
        <v/>
      </c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6">
        <f>IF(C672="착유장",기준값!$B$3,IF(C672="건유·육성우동",기준값!$B$2,""))</f>
        <v/>
      </c>
      <c r="V672" s="6">
        <f>IF(AND(F672&lt;&gt;"",F672&gt;0,U672&lt;&gt;""),ROUND((U672-N(K672))/(F672/60),0),"")</f>
        <v/>
      </c>
      <c r="W672" s="6">
        <f>IF(U672&lt;&gt;"",ROUND(N(K672)/U672*100,1),"")</f>
        <v/>
      </c>
    </row>
    <row r="673">
      <c r="A673" s="3" t="n"/>
      <c r="B673" s="4" t="n"/>
      <c r="C673" s="4" t="n"/>
      <c r="D673" s="5" t="n"/>
      <c r="E673" s="5" t="n"/>
      <c r="F673" s="6">
        <f>IF(AND(D673&lt;&gt;"",E673&lt;&gt;""),ROUND((E673-D673)*1440,0),"")</f>
        <v/>
      </c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6">
        <f>IF(C673="착유장",기준값!$B$3,IF(C673="건유·육성우동",기준값!$B$2,""))</f>
        <v/>
      </c>
      <c r="V673" s="6">
        <f>IF(AND(F673&lt;&gt;"",F673&gt;0,U673&lt;&gt;""),ROUND((U673-N(K673))/(F673/60),0),"")</f>
        <v/>
      </c>
      <c r="W673" s="6">
        <f>IF(U673&lt;&gt;"",ROUND(N(K673)/U673*100,1),"")</f>
        <v/>
      </c>
    </row>
    <row r="674">
      <c r="A674" s="3" t="n"/>
      <c r="B674" s="4" t="n"/>
      <c r="C674" s="4" t="n"/>
      <c r="D674" s="5" t="n"/>
      <c r="E674" s="5" t="n"/>
      <c r="F674" s="6">
        <f>IF(AND(D674&lt;&gt;"",E674&lt;&gt;""),ROUND((E674-D674)*1440,0),"")</f>
        <v/>
      </c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6">
        <f>IF(C674="착유장",기준값!$B$3,IF(C674="건유·육성우동",기준값!$B$2,""))</f>
        <v/>
      </c>
      <c r="V674" s="6">
        <f>IF(AND(F674&lt;&gt;"",F674&gt;0,U674&lt;&gt;""),ROUND((U674-N(K674))/(F674/60),0),"")</f>
        <v/>
      </c>
      <c r="W674" s="6">
        <f>IF(U674&lt;&gt;"",ROUND(N(K674)/U674*100,1),"")</f>
        <v/>
      </c>
    </row>
    <row r="675">
      <c r="A675" s="3" t="n"/>
      <c r="B675" s="4" t="n"/>
      <c r="C675" s="4" t="n"/>
      <c r="D675" s="5" t="n"/>
      <c r="E675" s="5" t="n"/>
      <c r="F675" s="6">
        <f>IF(AND(D675&lt;&gt;"",E675&lt;&gt;""),ROUND((E675-D675)*1440,0),"")</f>
        <v/>
      </c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6">
        <f>IF(C675="착유장",기준값!$B$3,IF(C675="건유·육성우동",기준값!$B$2,""))</f>
        <v/>
      </c>
      <c r="V675" s="6">
        <f>IF(AND(F675&lt;&gt;"",F675&gt;0,U675&lt;&gt;""),ROUND((U675-N(K675))/(F675/60),0),"")</f>
        <v/>
      </c>
      <c r="W675" s="6">
        <f>IF(U675&lt;&gt;"",ROUND(N(K675)/U675*100,1),"")</f>
        <v/>
      </c>
    </row>
    <row r="676">
      <c r="A676" s="3" t="n"/>
      <c r="B676" s="4" t="n"/>
      <c r="C676" s="4" t="n"/>
      <c r="D676" s="5" t="n"/>
      <c r="E676" s="5" t="n"/>
      <c r="F676" s="6">
        <f>IF(AND(D676&lt;&gt;"",E676&lt;&gt;""),ROUND((E676-D676)*1440,0),"")</f>
        <v/>
      </c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6">
        <f>IF(C676="착유장",기준값!$B$3,IF(C676="건유·육성우동",기준값!$B$2,""))</f>
        <v/>
      </c>
      <c r="V676" s="6">
        <f>IF(AND(F676&lt;&gt;"",F676&gt;0,U676&lt;&gt;""),ROUND((U676-N(K676))/(F676/60),0),"")</f>
        <v/>
      </c>
      <c r="W676" s="6">
        <f>IF(U676&lt;&gt;"",ROUND(N(K676)/U676*100,1),"")</f>
        <v/>
      </c>
    </row>
    <row r="677">
      <c r="A677" s="3" t="n"/>
      <c r="B677" s="4" t="n"/>
      <c r="C677" s="4" t="n"/>
      <c r="D677" s="5" t="n"/>
      <c r="E677" s="5" t="n"/>
      <c r="F677" s="6">
        <f>IF(AND(D677&lt;&gt;"",E677&lt;&gt;""),ROUND((E677-D677)*1440,0),"")</f>
        <v/>
      </c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6">
        <f>IF(C677="착유장",기준값!$B$3,IF(C677="건유·육성우동",기준값!$B$2,""))</f>
        <v/>
      </c>
      <c r="V677" s="6">
        <f>IF(AND(F677&lt;&gt;"",F677&gt;0,U677&lt;&gt;""),ROUND((U677-N(K677))/(F677/60),0),"")</f>
        <v/>
      </c>
      <c r="W677" s="6">
        <f>IF(U677&lt;&gt;"",ROUND(N(K677)/U677*100,1),"")</f>
        <v/>
      </c>
    </row>
    <row r="678">
      <c r="A678" s="3" t="n"/>
      <c r="B678" s="4" t="n"/>
      <c r="C678" s="4" t="n"/>
      <c r="D678" s="5" t="n"/>
      <c r="E678" s="5" t="n"/>
      <c r="F678" s="6">
        <f>IF(AND(D678&lt;&gt;"",E678&lt;&gt;""),ROUND((E678-D678)*1440,0),"")</f>
        <v/>
      </c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6">
        <f>IF(C678="착유장",기준값!$B$3,IF(C678="건유·육성우동",기준값!$B$2,""))</f>
        <v/>
      </c>
      <c r="V678" s="6">
        <f>IF(AND(F678&lt;&gt;"",F678&gt;0,U678&lt;&gt;""),ROUND((U678-N(K678))/(F678/60),0),"")</f>
        <v/>
      </c>
      <c r="W678" s="6">
        <f>IF(U678&lt;&gt;"",ROUND(N(K678)/U678*100,1),"")</f>
        <v/>
      </c>
    </row>
    <row r="679">
      <c r="A679" s="3" t="n"/>
      <c r="B679" s="4" t="n"/>
      <c r="C679" s="4" t="n"/>
      <c r="D679" s="5" t="n"/>
      <c r="E679" s="5" t="n"/>
      <c r="F679" s="6">
        <f>IF(AND(D679&lt;&gt;"",E679&lt;&gt;""),ROUND((E679-D679)*1440,0),"")</f>
        <v/>
      </c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6">
        <f>IF(C679="착유장",기준값!$B$3,IF(C679="건유·육성우동",기준값!$B$2,""))</f>
        <v/>
      </c>
      <c r="V679" s="6">
        <f>IF(AND(F679&lt;&gt;"",F679&gt;0,U679&lt;&gt;""),ROUND((U679-N(K679))/(F679/60),0),"")</f>
        <v/>
      </c>
      <c r="W679" s="6">
        <f>IF(U679&lt;&gt;"",ROUND(N(K679)/U679*100,1),"")</f>
        <v/>
      </c>
    </row>
    <row r="680">
      <c r="A680" s="3" t="n"/>
      <c r="B680" s="4" t="n"/>
      <c r="C680" s="4" t="n"/>
      <c r="D680" s="5" t="n"/>
      <c r="E680" s="5" t="n"/>
      <c r="F680" s="6">
        <f>IF(AND(D680&lt;&gt;"",E680&lt;&gt;""),ROUND((E680-D680)*1440,0),"")</f>
        <v/>
      </c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6">
        <f>IF(C680="착유장",기준값!$B$3,IF(C680="건유·육성우동",기준값!$B$2,""))</f>
        <v/>
      </c>
      <c r="V680" s="6">
        <f>IF(AND(F680&lt;&gt;"",F680&gt;0,U680&lt;&gt;""),ROUND((U680-N(K680))/(F680/60),0),"")</f>
        <v/>
      </c>
      <c r="W680" s="6">
        <f>IF(U680&lt;&gt;"",ROUND(N(K680)/U680*100,1),"")</f>
        <v/>
      </c>
    </row>
    <row r="681">
      <c r="A681" s="3" t="n"/>
      <c r="B681" s="4" t="n"/>
      <c r="C681" s="4" t="n"/>
      <c r="D681" s="5" t="n"/>
      <c r="E681" s="5" t="n"/>
      <c r="F681" s="6">
        <f>IF(AND(D681&lt;&gt;"",E681&lt;&gt;""),ROUND((E681-D681)*1440,0),"")</f>
        <v/>
      </c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6">
        <f>IF(C681="착유장",기준값!$B$3,IF(C681="건유·육성우동",기준값!$B$2,""))</f>
        <v/>
      </c>
      <c r="V681" s="6">
        <f>IF(AND(F681&lt;&gt;"",F681&gt;0,U681&lt;&gt;""),ROUND((U681-N(K681))/(F681/60),0),"")</f>
        <v/>
      </c>
      <c r="W681" s="6">
        <f>IF(U681&lt;&gt;"",ROUND(N(K681)/U681*100,1),"")</f>
        <v/>
      </c>
    </row>
    <row r="682">
      <c r="A682" s="3" t="n"/>
      <c r="B682" s="4" t="n"/>
      <c r="C682" s="4" t="n"/>
      <c r="D682" s="5" t="n"/>
      <c r="E682" s="5" t="n"/>
      <c r="F682" s="6">
        <f>IF(AND(D682&lt;&gt;"",E682&lt;&gt;""),ROUND((E682-D682)*1440,0),"")</f>
        <v/>
      </c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6">
        <f>IF(C682="착유장",기준값!$B$3,IF(C682="건유·육성우동",기준값!$B$2,""))</f>
        <v/>
      </c>
      <c r="V682" s="6">
        <f>IF(AND(F682&lt;&gt;"",F682&gt;0,U682&lt;&gt;""),ROUND((U682-N(K682))/(F682/60),0),"")</f>
        <v/>
      </c>
      <c r="W682" s="6">
        <f>IF(U682&lt;&gt;"",ROUND(N(K682)/U682*100,1),"")</f>
        <v/>
      </c>
    </row>
    <row r="683">
      <c r="A683" s="3" t="n"/>
      <c r="B683" s="4" t="n"/>
      <c r="C683" s="4" t="n"/>
      <c r="D683" s="5" t="n"/>
      <c r="E683" s="5" t="n"/>
      <c r="F683" s="6">
        <f>IF(AND(D683&lt;&gt;"",E683&lt;&gt;""),ROUND((E683-D683)*1440,0),"")</f>
        <v/>
      </c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6">
        <f>IF(C683="착유장",기준값!$B$3,IF(C683="건유·육성우동",기준값!$B$2,""))</f>
        <v/>
      </c>
      <c r="V683" s="6">
        <f>IF(AND(F683&lt;&gt;"",F683&gt;0,U683&lt;&gt;""),ROUND((U683-N(K683))/(F683/60),0),"")</f>
        <v/>
      </c>
      <c r="W683" s="6">
        <f>IF(U683&lt;&gt;"",ROUND(N(K683)/U683*100,1),"")</f>
        <v/>
      </c>
    </row>
    <row r="684">
      <c r="A684" s="3" t="n"/>
      <c r="B684" s="4" t="n"/>
      <c r="C684" s="4" t="n"/>
      <c r="D684" s="5" t="n"/>
      <c r="E684" s="5" t="n"/>
      <c r="F684" s="6">
        <f>IF(AND(D684&lt;&gt;"",E684&lt;&gt;""),ROUND((E684-D684)*1440,0),"")</f>
        <v/>
      </c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6">
        <f>IF(C684="착유장",기준값!$B$3,IF(C684="건유·육성우동",기준값!$B$2,""))</f>
        <v/>
      </c>
      <c r="V684" s="6">
        <f>IF(AND(F684&lt;&gt;"",F684&gt;0,U684&lt;&gt;""),ROUND((U684-N(K684))/(F684/60),0),"")</f>
        <v/>
      </c>
      <c r="W684" s="6">
        <f>IF(U684&lt;&gt;"",ROUND(N(K684)/U684*100,1),"")</f>
        <v/>
      </c>
    </row>
    <row r="685">
      <c r="A685" s="3" t="n"/>
      <c r="B685" s="4" t="n"/>
      <c r="C685" s="4" t="n"/>
      <c r="D685" s="5" t="n"/>
      <c r="E685" s="5" t="n"/>
      <c r="F685" s="6">
        <f>IF(AND(D685&lt;&gt;"",E685&lt;&gt;""),ROUND((E685-D685)*1440,0),"")</f>
        <v/>
      </c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6">
        <f>IF(C685="착유장",기준값!$B$3,IF(C685="건유·육성우동",기준값!$B$2,""))</f>
        <v/>
      </c>
      <c r="V685" s="6">
        <f>IF(AND(F685&lt;&gt;"",F685&gt;0,U685&lt;&gt;""),ROUND((U685-N(K685))/(F685/60),0),"")</f>
        <v/>
      </c>
      <c r="W685" s="6">
        <f>IF(U685&lt;&gt;"",ROUND(N(K685)/U685*100,1),"")</f>
        <v/>
      </c>
    </row>
    <row r="686">
      <c r="A686" s="3" t="n"/>
      <c r="B686" s="4" t="n"/>
      <c r="C686" s="4" t="n"/>
      <c r="D686" s="5" t="n"/>
      <c r="E686" s="5" t="n"/>
      <c r="F686" s="6">
        <f>IF(AND(D686&lt;&gt;"",E686&lt;&gt;""),ROUND((E686-D686)*1440,0),"")</f>
        <v/>
      </c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6">
        <f>IF(C686="착유장",기준값!$B$3,IF(C686="건유·육성우동",기준값!$B$2,""))</f>
        <v/>
      </c>
      <c r="V686" s="6">
        <f>IF(AND(F686&lt;&gt;"",F686&gt;0,U686&lt;&gt;""),ROUND((U686-N(K686))/(F686/60),0),"")</f>
        <v/>
      </c>
      <c r="W686" s="6">
        <f>IF(U686&lt;&gt;"",ROUND(N(K686)/U686*100,1),"")</f>
        <v/>
      </c>
    </row>
    <row r="687">
      <c r="A687" s="3" t="n"/>
      <c r="B687" s="4" t="n"/>
      <c r="C687" s="4" t="n"/>
      <c r="D687" s="5" t="n"/>
      <c r="E687" s="5" t="n"/>
      <c r="F687" s="6">
        <f>IF(AND(D687&lt;&gt;"",E687&lt;&gt;""),ROUND((E687-D687)*1440,0),"")</f>
        <v/>
      </c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6">
        <f>IF(C687="착유장",기준값!$B$3,IF(C687="건유·육성우동",기준값!$B$2,""))</f>
        <v/>
      </c>
      <c r="V687" s="6">
        <f>IF(AND(F687&lt;&gt;"",F687&gt;0,U687&lt;&gt;""),ROUND((U687-N(K687))/(F687/60),0),"")</f>
        <v/>
      </c>
      <c r="W687" s="6">
        <f>IF(U687&lt;&gt;"",ROUND(N(K687)/U687*100,1),"")</f>
        <v/>
      </c>
    </row>
    <row r="688">
      <c r="A688" s="3" t="n"/>
      <c r="B688" s="4" t="n"/>
      <c r="C688" s="4" t="n"/>
      <c r="D688" s="5" t="n"/>
      <c r="E688" s="5" t="n"/>
      <c r="F688" s="6">
        <f>IF(AND(D688&lt;&gt;"",E688&lt;&gt;""),ROUND((E688-D688)*1440,0),"")</f>
        <v/>
      </c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6">
        <f>IF(C688="착유장",기준값!$B$3,IF(C688="건유·육성우동",기준값!$B$2,""))</f>
        <v/>
      </c>
      <c r="V688" s="6">
        <f>IF(AND(F688&lt;&gt;"",F688&gt;0,U688&lt;&gt;""),ROUND((U688-N(K688))/(F688/60),0),"")</f>
        <v/>
      </c>
      <c r="W688" s="6">
        <f>IF(U688&lt;&gt;"",ROUND(N(K688)/U688*100,1),"")</f>
        <v/>
      </c>
    </row>
    <row r="689">
      <c r="A689" s="3" t="n"/>
      <c r="B689" s="4" t="n"/>
      <c r="C689" s="4" t="n"/>
      <c r="D689" s="5" t="n"/>
      <c r="E689" s="5" t="n"/>
      <c r="F689" s="6">
        <f>IF(AND(D689&lt;&gt;"",E689&lt;&gt;""),ROUND((E689-D689)*1440,0),"")</f>
        <v/>
      </c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6">
        <f>IF(C689="착유장",기준값!$B$3,IF(C689="건유·육성우동",기준값!$B$2,""))</f>
        <v/>
      </c>
      <c r="V689" s="6">
        <f>IF(AND(F689&lt;&gt;"",F689&gt;0,U689&lt;&gt;""),ROUND((U689-N(K689))/(F689/60),0),"")</f>
        <v/>
      </c>
      <c r="W689" s="6">
        <f>IF(U689&lt;&gt;"",ROUND(N(K689)/U689*100,1),"")</f>
        <v/>
      </c>
    </row>
    <row r="690">
      <c r="A690" s="3" t="n"/>
      <c r="B690" s="4" t="n"/>
      <c r="C690" s="4" t="n"/>
      <c r="D690" s="5" t="n"/>
      <c r="E690" s="5" t="n"/>
      <c r="F690" s="6">
        <f>IF(AND(D690&lt;&gt;"",E690&lt;&gt;""),ROUND((E690-D690)*1440,0),"")</f>
        <v/>
      </c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6">
        <f>IF(C690="착유장",기준값!$B$3,IF(C690="건유·육성우동",기준값!$B$2,""))</f>
        <v/>
      </c>
      <c r="V690" s="6">
        <f>IF(AND(F690&lt;&gt;"",F690&gt;0,U690&lt;&gt;""),ROUND((U690-N(K690))/(F690/60),0),"")</f>
        <v/>
      </c>
      <c r="W690" s="6">
        <f>IF(U690&lt;&gt;"",ROUND(N(K690)/U690*100,1),"")</f>
        <v/>
      </c>
    </row>
    <row r="691">
      <c r="A691" s="3" t="n"/>
      <c r="B691" s="4" t="n"/>
      <c r="C691" s="4" t="n"/>
      <c r="D691" s="5" t="n"/>
      <c r="E691" s="5" t="n"/>
      <c r="F691" s="6">
        <f>IF(AND(D691&lt;&gt;"",E691&lt;&gt;""),ROUND((E691-D691)*1440,0),"")</f>
        <v/>
      </c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6">
        <f>IF(C691="착유장",기준값!$B$3,IF(C691="건유·육성우동",기준값!$B$2,""))</f>
        <v/>
      </c>
      <c r="V691" s="6">
        <f>IF(AND(F691&lt;&gt;"",F691&gt;0,U691&lt;&gt;""),ROUND((U691-N(K691))/(F691/60),0),"")</f>
        <v/>
      </c>
      <c r="W691" s="6">
        <f>IF(U691&lt;&gt;"",ROUND(N(K691)/U691*100,1),"")</f>
        <v/>
      </c>
    </row>
    <row r="692">
      <c r="A692" s="3" t="n"/>
      <c r="B692" s="4" t="n"/>
      <c r="C692" s="4" t="n"/>
      <c r="D692" s="5" t="n"/>
      <c r="E692" s="5" t="n"/>
      <c r="F692" s="6">
        <f>IF(AND(D692&lt;&gt;"",E692&lt;&gt;""),ROUND((E692-D692)*1440,0),"")</f>
        <v/>
      </c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6">
        <f>IF(C692="착유장",기준값!$B$3,IF(C692="건유·육성우동",기준값!$B$2,""))</f>
        <v/>
      </c>
      <c r="V692" s="6">
        <f>IF(AND(F692&lt;&gt;"",F692&gt;0,U692&lt;&gt;""),ROUND((U692-N(K692))/(F692/60),0),"")</f>
        <v/>
      </c>
      <c r="W692" s="6">
        <f>IF(U692&lt;&gt;"",ROUND(N(K692)/U692*100,1),"")</f>
        <v/>
      </c>
    </row>
    <row r="693">
      <c r="A693" s="3" t="n"/>
      <c r="B693" s="4" t="n"/>
      <c r="C693" s="4" t="n"/>
      <c r="D693" s="5" t="n"/>
      <c r="E693" s="5" t="n"/>
      <c r="F693" s="6">
        <f>IF(AND(D693&lt;&gt;"",E693&lt;&gt;""),ROUND((E693-D693)*1440,0),"")</f>
        <v/>
      </c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6">
        <f>IF(C693="착유장",기준값!$B$3,IF(C693="건유·육성우동",기준값!$B$2,""))</f>
        <v/>
      </c>
      <c r="V693" s="6">
        <f>IF(AND(F693&lt;&gt;"",F693&gt;0,U693&lt;&gt;""),ROUND((U693-N(K693))/(F693/60),0),"")</f>
        <v/>
      </c>
      <c r="W693" s="6">
        <f>IF(U693&lt;&gt;"",ROUND(N(K693)/U693*100,1),"")</f>
        <v/>
      </c>
    </row>
    <row r="694">
      <c r="A694" s="3" t="n"/>
      <c r="B694" s="4" t="n"/>
      <c r="C694" s="4" t="n"/>
      <c r="D694" s="5" t="n"/>
      <c r="E694" s="5" t="n"/>
      <c r="F694" s="6">
        <f>IF(AND(D694&lt;&gt;"",E694&lt;&gt;""),ROUND((E694-D694)*1440,0),"")</f>
        <v/>
      </c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6">
        <f>IF(C694="착유장",기준값!$B$3,IF(C694="건유·육성우동",기준값!$B$2,""))</f>
        <v/>
      </c>
      <c r="V694" s="6">
        <f>IF(AND(F694&lt;&gt;"",F694&gt;0,U694&lt;&gt;""),ROUND((U694-N(K694))/(F694/60),0),"")</f>
        <v/>
      </c>
      <c r="W694" s="6">
        <f>IF(U694&lt;&gt;"",ROUND(N(K694)/U694*100,1),"")</f>
        <v/>
      </c>
    </row>
    <row r="695">
      <c r="A695" s="3" t="n"/>
      <c r="B695" s="4" t="n"/>
      <c r="C695" s="4" t="n"/>
      <c r="D695" s="5" t="n"/>
      <c r="E695" s="5" t="n"/>
      <c r="F695" s="6">
        <f>IF(AND(D695&lt;&gt;"",E695&lt;&gt;""),ROUND((E695-D695)*1440,0),"")</f>
        <v/>
      </c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6">
        <f>IF(C695="착유장",기준값!$B$3,IF(C695="건유·육성우동",기준값!$B$2,""))</f>
        <v/>
      </c>
      <c r="V695" s="6">
        <f>IF(AND(F695&lt;&gt;"",F695&gt;0,U695&lt;&gt;""),ROUND((U695-N(K695))/(F695/60),0),"")</f>
        <v/>
      </c>
      <c r="W695" s="6">
        <f>IF(U695&lt;&gt;"",ROUND(N(K695)/U695*100,1),"")</f>
        <v/>
      </c>
    </row>
    <row r="696">
      <c r="A696" s="3" t="n"/>
      <c r="B696" s="4" t="n"/>
      <c r="C696" s="4" t="n"/>
      <c r="D696" s="5" t="n"/>
      <c r="E696" s="5" t="n"/>
      <c r="F696" s="6">
        <f>IF(AND(D696&lt;&gt;"",E696&lt;&gt;""),ROUND((E696-D696)*1440,0),"")</f>
        <v/>
      </c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6">
        <f>IF(C696="착유장",기준값!$B$3,IF(C696="건유·육성우동",기준값!$B$2,""))</f>
        <v/>
      </c>
      <c r="V696" s="6">
        <f>IF(AND(F696&lt;&gt;"",F696&gt;0,U696&lt;&gt;""),ROUND((U696-N(K696))/(F696/60),0),"")</f>
        <v/>
      </c>
      <c r="W696" s="6">
        <f>IF(U696&lt;&gt;"",ROUND(N(K696)/U696*100,1),"")</f>
        <v/>
      </c>
    </row>
    <row r="697">
      <c r="A697" s="3" t="n"/>
      <c r="B697" s="4" t="n"/>
      <c r="C697" s="4" t="n"/>
      <c r="D697" s="5" t="n"/>
      <c r="E697" s="5" t="n"/>
      <c r="F697" s="6">
        <f>IF(AND(D697&lt;&gt;"",E697&lt;&gt;""),ROUND((E697-D697)*1440,0),"")</f>
        <v/>
      </c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6">
        <f>IF(C697="착유장",기준값!$B$3,IF(C697="건유·육성우동",기준값!$B$2,""))</f>
        <v/>
      </c>
      <c r="V697" s="6">
        <f>IF(AND(F697&lt;&gt;"",F697&gt;0,U697&lt;&gt;""),ROUND((U697-N(K697))/(F697/60),0),"")</f>
        <v/>
      </c>
      <c r="W697" s="6">
        <f>IF(U697&lt;&gt;"",ROUND(N(K697)/U697*100,1),"")</f>
        <v/>
      </c>
    </row>
    <row r="698">
      <c r="A698" s="3" t="n"/>
      <c r="B698" s="4" t="n"/>
      <c r="C698" s="4" t="n"/>
      <c r="D698" s="5" t="n"/>
      <c r="E698" s="5" t="n"/>
      <c r="F698" s="6">
        <f>IF(AND(D698&lt;&gt;"",E698&lt;&gt;""),ROUND((E698-D698)*1440,0),"")</f>
        <v/>
      </c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6">
        <f>IF(C698="착유장",기준값!$B$3,IF(C698="건유·육성우동",기준값!$B$2,""))</f>
        <v/>
      </c>
      <c r="V698" s="6">
        <f>IF(AND(F698&lt;&gt;"",F698&gt;0,U698&lt;&gt;""),ROUND((U698-N(K698))/(F698/60),0),"")</f>
        <v/>
      </c>
      <c r="W698" s="6">
        <f>IF(U698&lt;&gt;"",ROUND(N(K698)/U698*100,1),"")</f>
        <v/>
      </c>
    </row>
    <row r="699">
      <c r="A699" s="3" t="n"/>
      <c r="B699" s="4" t="n"/>
      <c r="C699" s="4" t="n"/>
      <c r="D699" s="5" t="n"/>
      <c r="E699" s="5" t="n"/>
      <c r="F699" s="6">
        <f>IF(AND(D699&lt;&gt;"",E699&lt;&gt;""),ROUND((E699-D699)*1440,0),"")</f>
        <v/>
      </c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6">
        <f>IF(C699="착유장",기준값!$B$3,IF(C699="건유·육성우동",기준값!$B$2,""))</f>
        <v/>
      </c>
      <c r="V699" s="6">
        <f>IF(AND(F699&lt;&gt;"",F699&gt;0,U699&lt;&gt;""),ROUND((U699-N(K699))/(F699/60),0),"")</f>
        <v/>
      </c>
      <c r="W699" s="6">
        <f>IF(U699&lt;&gt;"",ROUND(N(K699)/U699*100,1),"")</f>
        <v/>
      </c>
    </row>
    <row r="700">
      <c r="A700" s="3" t="n"/>
      <c r="B700" s="4" t="n"/>
      <c r="C700" s="4" t="n"/>
      <c r="D700" s="5" t="n"/>
      <c r="E700" s="5" t="n"/>
      <c r="F700" s="6">
        <f>IF(AND(D700&lt;&gt;"",E700&lt;&gt;""),ROUND((E700-D700)*1440,0),"")</f>
        <v/>
      </c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6">
        <f>IF(C700="착유장",기준값!$B$3,IF(C700="건유·육성우동",기준값!$B$2,""))</f>
        <v/>
      </c>
      <c r="V700" s="6">
        <f>IF(AND(F700&lt;&gt;"",F700&gt;0,U700&lt;&gt;""),ROUND((U700-N(K700))/(F700/60),0),"")</f>
        <v/>
      </c>
      <c r="W700" s="6">
        <f>IF(U700&lt;&gt;"",ROUND(N(K700)/U700*100,1),"")</f>
        <v/>
      </c>
    </row>
    <row r="701">
      <c r="A701" s="3" t="n"/>
      <c r="B701" s="4" t="n"/>
      <c r="C701" s="4" t="n"/>
      <c r="D701" s="5" t="n"/>
      <c r="E701" s="5" t="n"/>
      <c r="F701" s="6">
        <f>IF(AND(D701&lt;&gt;"",E701&lt;&gt;""),ROUND((E701-D701)*1440,0),"")</f>
        <v/>
      </c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6">
        <f>IF(C701="착유장",기준값!$B$3,IF(C701="건유·육성우동",기준값!$B$2,""))</f>
        <v/>
      </c>
      <c r="V701" s="6">
        <f>IF(AND(F701&lt;&gt;"",F701&gt;0,U701&lt;&gt;""),ROUND((U701-N(K701))/(F701/60),0),"")</f>
        <v/>
      </c>
      <c r="W701" s="6">
        <f>IF(U701&lt;&gt;"",ROUND(N(K701)/U701*100,1),"")</f>
        <v/>
      </c>
    </row>
    <row r="702">
      <c r="A702" s="3" t="n"/>
      <c r="B702" s="4" t="n"/>
      <c r="C702" s="4" t="n"/>
      <c r="D702" s="5" t="n"/>
      <c r="E702" s="5" t="n"/>
      <c r="F702" s="6">
        <f>IF(AND(D702&lt;&gt;"",E702&lt;&gt;""),ROUND((E702-D702)*1440,0),"")</f>
        <v/>
      </c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6">
        <f>IF(C702="착유장",기준값!$B$3,IF(C702="건유·육성우동",기준값!$B$2,""))</f>
        <v/>
      </c>
      <c r="V702" s="6">
        <f>IF(AND(F702&lt;&gt;"",F702&gt;0,U702&lt;&gt;""),ROUND((U702-N(K702))/(F702/60),0),"")</f>
        <v/>
      </c>
      <c r="W702" s="6">
        <f>IF(U702&lt;&gt;"",ROUND(N(K702)/U702*100,1),"")</f>
        <v/>
      </c>
    </row>
    <row r="703">
      <c r="A703" s="3" t="n"/>
      <c r="B703" s="4" t="n"/>
      <c r="C703" s="4" t="n"/>
      <c r="D703" s="5" t="n"/>
      <c r="E703" s="5" t="n"/>
      <c r="F703" s="6">
        <f>IF(AND(D703&lt;&gt;"",E703&lt;&gt;""),ROUND((E703-D703)*1440,0),"")</f>
        <v/>
      </c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6">
        <f>IF(C703="착유장",기준값!$B$3,IF(C703="건유·육성우동",기준값!$B$2,""))</f>
        <v/>
      </c>
      <c r="V703" s="6">
        <f>IF(AND(F703&lt;&gt;"",F703&gt;0,U703&lt;&gt;""),ROUND((U703-N(K703))/(F703/60),0),"")</f>
        <v/>
      </c>
      <c r="W703" s="6">
        <f>IF(U703&lt;&gt;"",ROUND(N(K703)/U703*100,1),"")</f>
        <v/>
      </c>
    </row>
    <row r="704">
      <c r="A704" s="3" t="n"/>
      <c r="B704" s="4" t="n"/>
      <c r="C704" s="4" t="n"/>
      <c r="D704" s="5" t="n"/>
      <c r="E704" s="5" t="n"/>
      <c r="F704" s="6">
        <f>IF(AND(D704&lt;&gt;"",E704&lt;&gt;""),ROUND((E704-D704)*1440,0),"")</f>
        <v/>
      </c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6">
        <f>IF(C704="착유장",기준값!$B$3,IF(C704="건유·육성우동",기준값!$B$2,""))</f>
        <v/>
      </c>
      <c r="V704" s="6">
        <f>IF(AND(F704&lt;&gt;"",F704&gt;0,U704&lt;&gt;""),ROUND((U704-N(K704))/(F704/60),0),"")</f>
        <v/>
      </c>
      <c r="W704" s="6">
        <f>IF(U704&lt;&gt;"",ROUND(N(K704)/U704*100,1),"")</f>
        <v/>
      </c>
    </row>
    <row r="705">
      <c r="A705" s="3" t="n"/>
      <c r="B705" s="4" t="n"/>
      <c r="C705" s="4" t="n"/>
      <c r="D705" s="5" t="n"/>
      <c r="E705" s="5" t="n"/>
      <c r="F705" s="6">
        <f>IF(AND(D705&lt;&gt;"",E705&lt;&gt;""),ROUND((E705-D705)*1440,0),"")</f>
        <v/>
      </c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6">
        <f>IF(C705="착유장",기준값!$B$3,IF(C705="건유·육성우동",기준값!$B$2,""))</f>
        <v/>
      </c>
      <c r="V705" s="6">
        <f>IF(AND(F705&lt;&gt;"",F705&gt;0,U705&lt;&gt;""),ROUND((U705-N(K705))/(F705/60),0),"")</f>
        <v/>
      </c>
      <c r="W705" s="6">
        <f>IF(U705&lt;&gt;"",ROUND(N(K705)/U705*100,1),"")</f>
        <v/>
      </c>
    </row>
    <row r="706">
      <c r="A706" s="3" t="n"/>
      <c r="B706" s="4" t="n"/>
      <c r="C706" s="4" t="n"/>
      <c r="D706" s="5" t="n"/>
      <c r="E706" s="5" t="n"/>
      <c r="F706" s="6">
        <f>IF(AND(D706&lt;&gt;"",E706&lt;&gt;""),ROUND((E706-D706)*1440,0),"")</f>
        <v/>
      </c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6">
        <f>IF(C706="착유장",기준값!$B$3,IF(C706="건유·육성우동",기준값!$B$2,""))</f>
        <v/>
      </c>
      <c r="V706" s="6">
        <f>IF(AND(F706&lt;&gt;"",F706&gt;0,U706&lt;&gt;""),ROUND((U706-N(K706))/(F706/60),0),"")</f>
        <v/>
      </c>
      <c r="W706" s="6">
        <f>IF(U706&lt;&gt;"",ROUND(N(K706)/U706*100,1),"")</f>
        <v/>
      </c>
    </row>
    <row r="707">
      <c r="A707" s="3" t="n"/>
      <c r="B707" s="4" t="n"/>
      <c r="C707" s="4" t="n"/>
      <c r="D707" s="5" t="n"/>
      <c r="E707" s="5" t="n"/>
      <c r="F707" s="6">
        <f>IF(AND(D707&lt;&gt;"",E707&lt;&gt;""),ROUND((E707-D707)*1440,0),"")</f>
        <v/>
      </c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6">
        <f>IF(C707="착유장",기준값!$B$3,IF(C707="건유·육성우동",기준값!$B$2,""))</f>
        <v/>
      </c>
      <c r="V707" s="6">
        <f>IF(AND(F707&lt;&gt;"",F707&gt;0,U707&lt;&gt;""),ROUND((U707-N(K707))/(F707/60),0),"")</f>
        <v/>
      </c>
      <c r="W707" s="6">
        <f>IF(U707&lt;&gt;"",ROUND(N(K707)/U707*100,1),"")</f>
        <v/>
      </c>
    </row>
    <row r="708">
      <c r="A708" s="3" t="n"/>
      <c r="B708" s="4" t="n"/>
      <c r="C708" s="4" t="n"/>
      <c r="D708" s="5" t="n"/>
      <c r="E708" s="5" t="n"/>
      <c r="F708" s="6">
        <f>IF(AND(D708&lt;&gt;"",E708&lt;&gt;""),ROUND((E708-D708)*1440,0),"")</f>
        <v/>
      </c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6">
        <f>IF(C708="착유장",기준값!$B$3,IF(C708="건유·육성우동",기준값!$B$2,""))</f>
        <v/>
      </c>
      <c r="V708" s="6">
        <f>IF(AND(F708&lt;&gt;"",F708&gt;0,U708&lt;&gt;""),ROUND((U708-N(K708))/(F708/60),0),"")</f>
        <v/>
      </c>
      <c r="W708" s="6">
        <f>IF(U708&lt;&gt;"",ROUND(N(K708)/U708*100,1),"")</f>
        <v/>
      </c>
    </row>
    <row r="709">
      <c r="A709" s="3" t="n"/>
      <c r="B709" s="4" t="n"/>
      <c r="C709" s="4" t="n"/>
      <c r="D709" s="5" t="n"/>
      <c r="E709" s="5" t="n"/>
      <c r="F709" s="6">
        <f>IF(AND(D709&lt;&gt;"",E709&lt;&gt;""),ROUND((E709-D709)*1440,0),"")</f>
        <v/>
      </c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6">
        <f>IF(C709="착유장",기준값!$B$3,IF(C709="건유·육성우동",기준값!$B$2,""))</f>
        <v/>
      </c>
      <c r="V709" s="6">
        <f>IF(AND(F709&lt;&gt;"",F709&gt;0,U709&lt;&gt;""),ROUND((U709-N(K709))/(F709/60),0),"")</f>
        <v/>
      </c>
      <c r="W709" s="6">
        <f>IF(U709&lt;&gt;"",ROUND(N(K709)/U709*100,1),"")</f>
        <v/>
      </c>
    </row>
    <row r="710">
      <c r="A710" s="3" t="n"/>
      <c r="B710" s="4" t="n"/>
      <c r="C710" s="4" t="n"/>
      <c r="D710" s="5" t="n"/>
      <c r="E710" s="5" t="n"/>
      <c r="F710" s="6">
        <f>IF(AND(D710&lt;&gt;"",E710&lt;&gt;""),ROUND((E710-D710)*1440,0),"")</f>
        <v/>
      </c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6">
        <f>IF(C710="착유장",기준값!$B$3,IF(C710="건유·육성우동",기준값!$B$2,""))</f>
        <v/>
      </c>
      <c r="V710" s="6">
        <f>IF(AND(F710&lt;&gt;"",F710&gt;0,U710&lt;&gt;""),ROUND((U710-N(K710))/(F710/60),0),"")</f>
        <v/>
      </c>
      <c r="W710" s="6">
        <f>IF(U710&lt;&gt;"",ROUND(N(K710)/U710*100,1),"")</f>
        <v/>
      </c>
    </row>
    <row r="711">
      <c r="A711" s="3" t="n"/>
      <c r="B711" s="4" t="n"/>
      <c r="C711" s="4" t="n"/>
      <c r="D711" s="5" t="n"/>
      <c r="E711" s="5" t="n"/>
      <c r="F711" s="6">
        <f>IF(AND(D711&lt;&gt;"",E711&lt;&gt;""),ROUND((E711-D711)*1440,0),"")</f>
        <v/>
      </c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6">
        <f>IF(C711="착유장",기준값!$B$3,IF(C711="건유·육성우동",기준값!$B$2,""))</f>
        <v/>
      </c>
      <c r="V711" s="6">
        <f>IF(AND(F711&lt;&gt;"",F711&gt;0,U711&lt;&gt;""),ROUND((U711-N(K711))/(F711/60),0),"")</f>
        <v/>
      </c>
      <c r="W711" s="6">
        <f>IF(U711&lt;&gt;"",ROUND(N(K711)/U711*100,1),"")</f>
        <v/>
      </c>
    </row>
    <row r="712">
      <c r="A712" s="3" t="n"/>
      <c r="B712" s="4" t="n"/>
      <c r="C712" s="4" t="n"/>
      <c r="D712" s="5" t="n"/>
      <c r="E712" s="5" t="n"/>
      <c r="F712" s="6">
        <f>IF(AND(D712&lt;&gt;"",E712&lt;&gt;""),ROUND((E712-D712)*1440,0),"")</f>
        <v/>
      </c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6">
        <f>IF(C712="착유장",기준값!$B$3,IF(C712="건유·육성우동",기준값!$B$2,""))</f>
        <v/>
      </c>
      <c r="V712" s="6">
        <f>IF(AND(F712&lt;&gt;"",F712&gt;0,U712&lt;&gt;""),ROUND((U712-N(K712))/(F712/60),0),"")</f>
        <v/>
      </c>
      <c r="W712" s="6">
        <f>IF(U712&lt;&gt;"",ROUND(N(K712)/U712*100,1),"")</f>
        <v/>
      </c>
    </row>
    <row r="713">
      <c r="A713" s="3" t="n"/>
      <c r="B713" s="4" t="n"/>
      <c r="C713" s="4" t="n"/>
      <c r="D713" s="5" t="n"/>
      <c r="E713" s="5" t="n"/>
      <c r="F713" s="6">
        <f>IF(AND(D713&lt;&gt;"",E713&lt;&gt;""),ROUND((E713-D713)*1440,0),"")</f>
        <v/>
      </c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6">
        <f>IF(C713="착유장",기준값!$B$3,IF(C713="건유·육성우동",기준값!$B$2,""))</f>
        <v/>
      </c>
      <c r="V713" s="6">
        <f>IF(AND(F713&lt;&gt;"",F713&gt;0,U713&lt;&gt;""),ROUND((U713-N(K713))/(F713/60),0),"")</f>
        <v/>
      </c>
      <c r="W713" s="6">
        <f>IF(U713&lt;&gt;"",ROUND(N(K713)/U713*100,1),"")</f>
        <v/>
      </c>
    </row>
    <row r="714">
      <c r="A714" s="3" t="n"/>
      <c r="B714" s="4" t="n"/>
      <c r="C714" s="4" t="n"/>
      <c r="D714" s="5" t="n"/>
      <c r="E714" s="5" t="n"/>
      <c r="F714" s="6">
        <f>IF(AND(D714&lt;&gt;"",E714&lt;&gt;""),ROUND((E714-D714)*1440,0),"")</f>
        <v/>
      </c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6">
        <f>IF(C714="착유장",기준값!$B$3,IF(C714="건유·육성우동",기준값!$B$2,""))</f>
        <v/>
      </c>
      <c r="V714" s="6">
        <f>IF(AND(F714&lt;&gt;"",F714&gt;0,U714&lt;&gt;""),ROUND((U714-N(K714))/(F714/60),0),"")</f>
        <v/>
      </c>
      <c r="W714" s="6">
        <f>IF(U714&lt;&gt;"",ROUND(N(K714)/U714*100,1),"")</f>
        <v/>
      </c>
    </row>
    <row r="715">
      <c r="A715" s="3" t="n"/>
      <c r="B715" s="4" t="n"/>
      <c r="C715" s="4" t="n"/>
      <c r="D715" s="5" t="n"/>
      <c r="E715" s="5" t="n"/>
      <c r="F715" s="6">
        <f>IF(AND(D715&lt;&gt;"",E715&lt;&gt;""),ROUND((E715-D715)*1440,0),"")</f>
        <v/>
      </c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6">
        <f>IF(C715="착유장",기준값!$B$3,IF(C715="건유·육성우동",기준값!$B$2,""))</f>
        <v/>
      </c>
      <c r="V715" s="6">
        <f>IF(AND(F715&lt;&gt;"",F715&gt;0,U715&lt;&gt;""),ROUND((U715-N(K715))/(F715/60),0),"")</f>
        <v/>
      </c>
      <c r="W715" s="6">
        <f>IF(U715&lt;&gt;"",ROUND(N(K715)/U715*100,1),"")</f>
        <v/>
      </c>
    </row>
    <row r="716">
      <c r="A716" s="3" t="n"/>
      <c r="B716" s="4" t="n"/>
      <c r="C716" s="4" t="n"/>
      <c r="D716" s="5" t="n"/>
      <c r="E716" s="5" t="n"/>
      <c r="F716" s="6">
        <f>IF(AND(D716&lt;&gt;"",E716&lt;&gt;""),ROUND((E716-D716)*1440,0),"")</f>
        <v/>
      </c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6">
        <f>IF(C716="착유장",기준값!$B$3,IF(C716="건유·육성우동",기준값!$B$2,""))</f>
        <v/>
      </c>
      <c r="V716" s="6">
        <f>IF(AND(F716&lt;&gt;"",F716&gt;0,U716&lt;&gt;""),ROUND((U716-N(K716))/(F716/60),0),"")</f>
        <v/>
      </c>
      <c r="W716" s="6">
        <f>IF(U716&lt;&gt;"",ROUND(N(K716)/U716*100,1),"")</f>
        <v/>
      </c>
    </row>
    <row r="717">
      <c r="A717" s="3" t="n"/>
      <c r="B717" s="4" t="n"/>
      <c r="C717" s="4" t="n"/>
      <c r="D717" s="5" t="n"/>
      <c r="E717" s="5" t="n"/>
      <c r="F717" s="6">
        <f>IF(AND(D717&lt;&gt;"",E717&lt;&gt;""),ROUND((E717-D717)*1440,0),"")</f>
        <v/>
      </c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6">
        <f>IF(C717="착유장",기준값!$B$3,IF(C717="건유·육성우동",기준값!$B$2,""))</f>
        <v/>
      </c>
      <c r="V717" s="6">
        <f>IF(AND(F717&lt;&gt;"",F717&gt;0,U717&lt;&gt;""),ROUND((U717-N(K717))/(F717/60),0),"")</f>
        <v/>
      </c>
      <c r="W717" s="6">
        <f>IF(U717&lt;&gt;"",ROUND(N(K717)/U717*100,1),"")</f>
        <v/>
      </c>
    </row>
    <row r="718">
      <c r="A718" s="3" t="n"/>
      <c r="B718" s="4" t="n"/>
      <c r="C718" s="4" t="n"/>
      <c r="D718" s="5" t="n"/>
      <c r="E718" s="5" t="n"/>
      <c r="F718" s="6">
        <f>IF(AND(D718&lt;&gt;"",E718&lt;&gt;""),ROUND((E718-D718)*1440,0),"")</f>
        <v/>
      </c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6">
        <f>IF(C718="착유장",기준값!$B$3,IF(C718="건유·육성우동",기준값!$B$2,""))</f>
        <v/>
      </c>
      <c r="V718" s="6">
        <f>IF(AND(F718&lt;&gt;"",F718&gt;0,U718&lt;&gt;""),ROUND((U718-N(K718))/(F718/60),0),"")</f>
        <v/>
      </c>
      <c r="W718" s="6">
        <f>IF(U718&lt;&gt;"",ROUND(N(K718)/U718*100,1),"")</f>
        <v/>
      </c>
    </row>
    <row r="719">
      <c r="A719" s="3" t="n"/>
      <c r="B719" s="4" t="n"/>
      <c r="C719" s="4" t="n"/>
      <c r="D719" s="5" t="n"/>
      <c r="E719" s="5" t="n"/>
      <c r="F719" s="6">
        <f>IF(AND(D719&lt;&gt;"",E719&lt;&gt;""),ROUND((E719-D719)*1440,0),"")</f>
        <v/>
      </c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6">
        <f>IF(C719="착유장",기준값!$B$3,IF(C719="건유·육성우동",기준값!$B$2,""))</f>
        <v/>
      </c>
      <c r="V719" s="6">
        <f>IF(AND(F719&lt;&gt;"",F719&gt;0,U719&lt;&gt;""),ROUND((U719-N(K719))/(F719/60),0),"")</f>
        <v/>
      </c>
      <c r="W719" s="6">
        <f>IF(U719&lt;&gt;"",ROUND(N(K719)/U719*100,1),"")</f>
        <v/>
      </c>
    </row>
    <row r="720">
      <c r="A720" s="3" t="n"/>
      <c r="B720" s="4" t="n"/>
      <c r="C720" s="4" t="n"/>
      <c r="D720" s="5" t="n"/>
      <c r="E720" s="5" t="n"/>
      <c r="F720" s="6">
        <f>IF(AND(D720&lt;&gt;"",E720&lt;&gt;""),ROUND((E720-D720)*1440,0),"")</f>
        <v/>
      </c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6">
        <f>IF(C720="착유장",기준값!$B$3,IF(C720="건유·육성우동",기준값!$B$2,""))</f>
        <v/>
      </c>
      <c r="V720" s="6">
        <f>IF(AND(F720&lt;&gt;"",F720&gt;0,U720&lt;&gt;""),ROUND((U720-N(K720))/(F720/60),0),"")</f>
        <v/>
      </c>
      <c r="W720" s="6">
        <f>IF(U720&lt;&gt;"",ROUND(N(K720)/U720*100,1),"")</f>
        <v/>
      </c>
    </row>
    <row r="721">
      <c r="A721" s="3" t="n"/>
      <c r="B721" s="4" t="n"/>
      <c r="C721" s="4" t="n"/>
      <c r="D721" s="5" t="n"/>
      <c r="E721" s="5" t="n"/>
      <c r="F721" s="6">
        <f>IF(AND(D721&lt;&gt;"",E721&lt;&gt;""),ROUND((E721-D721)*1440,0),"")</f>
        <v/>
      </c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6">
        <f>IF(C721="착유장",기준값!$B$3,IF(C721="건유·육성우동",기준값!$B$2,""))</f>
        <v/>
      </c>
      <c r="V721" s="6">
        <f>IF(AND(F721&lt;&gt;"",F721&gt;0,U721&lt;&gt;""),ROUND((U721-N(K721))/(F721/60),0),"")</f>
        <v/>
      </c>
      <c r="W721" s="6">
        <f>IF(U721&lt;&gt;"",ROUND(N(K721)/U721*100,1),"")</f>
        <v/>
      </c>
    </row>
    <row r="722">
      <c r="A722" s="3" t="n"/>
      <c r="B722" s="4" t="n"/>
      <c r="C722" s="4" t="n"/>
      <c r="D722" s="5" t="n"/>
      <c r="E722" s="5" t="n"/>
      <c r="F722" s="6">
        <f>IF(AND(D722&lt;&gt;"",E722&lt;&gt;""),ROUND((E722-D722)*1440,0),"")</f>
        <v/>
      </c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6">
        <f>IF(C722="착유장",기준값!$B$3,IF(C722="건유·육성우동",기준값!$B$2,""))</f>
        <v/>
      </c>
      <c r="V722" s="6">
        <f>IF(AND(F722&lt;&gt;"",F722&gt;0,U722&lt;&gt;""),ROUND((U722-N(K722))/(F722/60),0),"")</f>
        <v/>
      </c>
      <c r="W722" s="6">
        <f>IF(U722&lt;&gt;"",ROUND(N(K722)/U722*100,1),"")</f>
        <v/>
      </c>
    </row>
    <row r="723">
      <c r="A723" s="3" t="n"/>
      <c r="B723" s="4" t="n"/>
      <c r="C723" s="4" t="n"/>
      <c r="D723" s="5" t="n"/>
      <c r="E723" s="5" t="n"/>
      <c r="F723" s="6">
        <f>IF(AND(D723&lt;&gt;"",E723&lt;&gt;""),ROUND((E723-D723)*1440,0),"")</f>
        <v/>
      </c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6">
        <f>IF(C723="착유장",기준값!$B$3,IF(C723="건유·육성우동",기준값!$B$2,""))</f>
        <v/>
      </c>
      <c r="V723" s="6">
        <f>IF(AND(F723&lt;&gt;"",F723&gt;0,U723&lt;&gt;""),ROUND((U723-N(K723))/(F723/60),0),"")</f>
        <v/>
      </c>
      <c r="W723" s="6">
        <f>IF(U723&lt;&gt;"",ROUND(N(K723)/U723*100,1),"")</f>
        <v/>
      </c>
    </row>
    <row r="724">
      <c r="A724" s="3" t="n"/>
      <c r="B724" s="4" t="n"/>
      <c r="C724" s="4" t="n"/>
      <c r="D724" s="5" t="n"/>
      <c r="E724" s="5" t="n"/>
      <c r="F724" s="6">
        <f>IF(AND(D724&lt;&gt;"",E724&lt;&gt;""),ROUND((E724-D724)*1440,0),"")</f>
        <v/>
      </c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6">
        <f>IF(C724="착유장",기준값!$B$3,IF(C724="건유·육성우동",기준값!$B$2,""))</f>
        <v/>
      </c>
      <c r="V724" s="6">
        <f>IF(AND(F724&lt;&gt;"",F724&gt;0,U724&lt;&gt;""),ROUND((U724-N(K724))/(F724/60),0),"")</f>
        <v/>
      </c>
      <c r="W724" s="6">
        <f>IF(U724&lt;&gt;"",ROUND(N(K724)/U724*100,1),"")</f>
        <v/>
      </c>
    </row>
    <row r="725">
      <c r="A725" s="3" t="n"/>
      <c r="B725" s="4" t="n"/>
      <c r="C725" s="4" t="n"/>
      <c r="D725" s="5" t="n"/>
      <c r="E725" s="5" t="n"/>
      <c r="F725" s="6">
        <f>IF(AND(D725&lt;&gt;"",E725&lt;&gt;""),ROUND((E725-D725)*1440,0),"")</f>
        <v/>
      </c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6">
        <f>IF(C725="착유장",기준값!$B$3,IF(C725="건유·육성우동",기준값!$B$2,""))</f>
        <v/>
      </c>
      <c r="V725" s="6">
        <f>IF(AND(F725&lt;&gt;"",F725&gt;0,U725&lt;&gt;""),ROUND((U725-N(K725))/(F725/60),0),"")</f>
        <v/>
      </c>
      <c r="W725" s="6">
        <f>IF(U725&lt;&gt;"",ROUND(N(K725)/U725*100,1),"")</f>
        <v/>
      </c>
    </row>
    <row r="726">
      <c r="A726" s="3" t="n"/>
      <c r="B726" s="4" t="n"/>
      <c r="C726" s="4" t="n"/>
      <c r="D726" s="5" t="n"/>
      <c r="E726" s="5" t="n"/>
      <c r="F726" s="6">
        <f>IF(AND(D726&lt;&gt;"",E726&lt;&gt;""),ROUND((E726-D726)*1440,0),"")</f>
        <v/>
      </c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6">
        <f>IF(C726="착유장",기준값!$B$3,IF(C726="건유·육성우동",기준값!$B$2,""))</f>
        <v/>
      </c>
      <c r="V726" s="6">
        <f>IF(AND(F726&lt;&gt;"",F726&gt;0,U726&lt;&gt;""),ROUND((U726-N(K726))/(F726/60),0),"")</f>
        <v/>
      </c>
      <c r="W726" s="6">
        <f>IF(U726&lt;&gt;"",ROUND(N(K726)/U726*100,1),"")</f>
        <v/>
      </c>
    </row>
    <row r="727">
      <c r="A727" s="3" t="n"/>
      <c r="B727" s="4" t="n"/>
      <c r="C727" s="4" t="n"/>
      <c r="D727" s="5" t="n"/>
      <c r="E727" s="5" t="n"/>
      <c r="F727" s="6">
        <f>IF(AND(D727&lt;&gt;"",E727&lt;&gt;""),ROUND((E727-D727)*1440,0),"")</f>
        <v/>
      </c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6">
        <f>IF(C727="착유장",기준값!$B$3,IF(C727="건유·육성우동",기준값!$B$2,""))</f>
        <v/>
      </c>
      <c r="V727" s="6">
        <f>IF(AND(F727&lt;&gt;"",F727&gt;0,U727&lt;&gt;""),ROUND((U727-N(K727))/(F727/60),0),"")</f>
        <v/>
      </c>
      <c r="W727" s="6">
        <f>IF(U727&lt;&gt;"",ROUND(N(K727)/U727*100,1),"")</f>
        <v/>
      </c>
    </row>
    <row r="728">
      <c r="A728" s="3" t="n"/>
      <c r="B728" s="4" t="n"/>
      <c r="C728" s="4" t="n"/>
      <c r="D728" s="5" t="n"/>
      <c r="E728" s="5" t="n"/>
      <c r="F728" s="6">
        <f>IF(AND(D728&lt;&gt;"",E728&lt;&gt;""),ROUND((E728-D728)*1440,0),"")</f>
        <v/>
      </c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6">
        <f>IF(C728="착유장",기준값!$B$3,IF(C728="건유·육성우동",기준값!$B$2,""))</f>
        <v/>
      </c>
      <c r="V728" s="6">
        <f>IF(AND(F728&lt;&gt;"",F728&gt;0,U728&lt;&gt;""),ROUND((U728-N(K728))/(F728/60),0),"")</f>
        <v/>
      </c>
      <c r="W728" s="6">
        <f>IF(U728&lt;&gt;"",ROUND(N(K728)/U728*100,1),"")</f>
        <v/>
      </c>
    </row>
    <row r="729">
      <c r="A729" s="3" t="n"/>
      <c r="B729" s="4" t="n"/>
      <c r="C729" s="4" t="n"/>
      <c r="D729" s="5" t="n"/>
      <c r="E729" s="5" t="n"/>
      <c r="F729" s="6">
        <f>IF(AND(D729&lt;&gt;"",E729&lt;&gt;""),ROUND((E729-D729)*1440,0),"")</f>
        <v/>
      </c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6">
        <f>IF(C729="착유장",기준값!$B$3,IF(C729="건유·육성우동",기준값!$B$2,""))</f>
        <v/>
      </c>
      <c r="V729" s="6">
        <f>IF(AND(F729&lt;&gt;"",F729&gt;0,U729&lt;&gt;""),ROUND((U729-N(K729))/(F729/60),0),"")</f>
        <v/>
      </c>
      <c r="W729" s="6">
        <f>IF(U729&lt;&gt;"",ROUND(N(K729)/U729*100,1),"")</f>
        <v/>
      </c>
    </row>
    <row r="730">
      <c r="A730" s="3" t="n"/>
      <c r="B730" s="4" t="n"/>
      <c r="C730" s="4" t="n"/>
      <c r="D730" s="5" t="n"/>
      <c r="E730" s="5" t="n"/>
      <c r="F730" s="6">
        <f>IF(AND(D730&lt;&gt;"",E730&lt;&gt;""),ROUND((E730-D730)*1440,0),"")</f>
        <v/>
      </c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6">
        <f>IF(C730="착유장",기준값!$B$3,IF(C730="건유·육성우동",기준값!$B$2,""))</f>
        <v/>
      </c>
      <c r="V730" s="6">
        <f>IF(AND(F730&lt;&gt;"",F730&gt;0,U730&lt;&gt;""),ROUND((U730-N(K730))/(F730/60),0),"")</f>
        <v/>
      </c>
      <c r="W730" s="6">
        <f>IF(U730&lt;&gt;"",ROUND(N(K730)/U730*100,1),"")</f>
        <v/>
      </c>
    </row>
    <row r="731">
      <c r="A731" s="3" t="n"/>
      <c r="B731" s="4" t="n"/>
      <c r="C731" s="4" t="n"/>
      <c r="D731" s="5" t="n"/>
      <c r="E731" s="5" t="n"/>
      <c r="F731" s="6">
        <f>IF(AND(D731&lt;&gt;"",E731&lt;&gt;""),ROUND((E731-D731)*1440,0),"")</f>
        <v/>
      </c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6">
        <f>IF(C731="착유장",기준값!$B$3,IF(C731="건유·육성우동",기준값!$B$2,""))</f>
        <v/>
      </c>
      <c r="V731" s="6">
        <f>IF(AND(F731&lt;&gt;"",F731&gt;0,U731&lt;&gt;""),ROUND((U731-N(K731))/(F731/60),0),"")</f>
        <v/>
      </c>
      <c r="W731" s="6">
        <f>IF(U731&lt;&gt;"",ROUND(N(K731)/U731*100,1),"")</f>
        <v/>
      </c>
    </row>
    <row r="732">
      <c r="A732" s="3" t="n"/>
      <c r="B732" s="4" t="n"/>
      <c r="C732" s="4" t="n"/>
      <c r="D732" s="5" t="n"/>
      <c r="E732" s="5" t="n"/>
      <c r="F732" s="6">
        <f>IF(AND(D732&lt;&gt;"",E732&lt;&gt;""),ROUND((E732-D732)*1440,0),"")</f>
        <v/>
      </c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6">
        <f>IF(C732="착유장",기준값!$B$3,IF(C732="건유·육성우동",기준값!$B$2,""))</f>
        <v/>
      </c>
      <c r="V732" s="6">
        <f>IF(AND(F732&lt;&gt;"",F732&gt;0,U732&lt;&gt;""),ROUND((U732-N(K732))/(F732/60),0),"")</f>
        <v/>
      </c>
      <c r="W732" s="6">
        <f>IF(U732&lt;&gt;"",ROUND(N(K732)/U732*100,1),"")</f>
        <v/>
      </c>
    </row>
    <row r="733">
      <c r="A733" s="3" t="n"/>
      <c r="B733" s="4" t="n"/>
      <c r="C733" s="4" t="n"/>
      <c r="D733" s="5" t="n"/>
      <c r="E733" s="5" t="n"/>
      <c r="F733" s="6">
        <f>IF(AND(D733&lt;&gt;"",E733&lt;&gt;""),ROUND((E733-D733)*1440,0),"")</f>
        <v/>
      </c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6">
        <f>IF(C733="착유장",기준값!$B$3,IF(C733="건유·육성우동",기준값!$B$2,""))</f>
        <v/>
      </c>
      <c r="V733" s="6">
        <f>IF(AND(F733&lt;&gt;"",F733&gt;0,U733&lt;&gt;""),ROUND((U733-N(K733))/(F733/60),0),"")</f>
        <v/>
      </c>
      <c r="W733" s="6">
        <f>IF(U733&lt;&gt;"",ROUND(N(K733)/U733*100,1),"")</f>
        <v/>
      </c>
    </row>
    <row r="734">
      <c r="A734" s="3" t="n"/>
      <c r="B734" s="4" t="n"/>
      <c r="C734" s="4" t="n"/>
      <c r="D734" s="5" t="n"/>
      <c r="E734" s="5" t="n"/>
      <c r="F734" s="6">
        <f>IF(AND(D734&lt;&gt;"",E734&lt;&gt;""),ROUND((E734-D734)*1440,0),"")</f>
        <v/>
      </c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6">
        <f>IF(C734="착유장",기준값!$B$3,IF(C734="건유·육성우동",기준값!$B$2,""))</f>
        <v/>
      </c>
      <c r="V734" s="6">
        <f>IF(AND(F734&lt;&gt;"",F734&gt;0,U734&lt;&gt;""),ROUND((U734-N(K734))/(F734/60),0),"")</f>
        <v/>
      </c>
      <c r="W734" s="6">
        <f>IF(U734&lt;&gt;"",ROUND(N(K734)/U734*100,1),"")</f>
        <v/>
      </c>
    </row>
    <row r="735">
      <c r="A735" s="3" t="n"/>
      <c r="B735" s="4" t="n"/>
      <c r="C735" s="4" t="n"/>
      <c r="D735" s="5" t="n"/>
      <c r="E735" s="5" t="n"/>
      <c r="F735" s="6">
        <f>IF(AND(D735&lt;&gt;"",E735&lt;&gt;""),ROUND((E735-D735)*1440,0),"")</f>
        <v/>
      </c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6">
        <f>IF(C735="착유장",기준값!$B$3,IF(C735="건유·육성우동",기준값!$B$2,""))</f>
        <v/>
      </c>
      <c r="V735" s="6">
        <f>IF(AND(F735&lt;&gt;"",F735&gt;0,U735&lt;&gt;""),ROUND((U735-N(K735))/(F735/60),0),"")</f>
        <v/>
      </c>
      <c r="W735" s="6">
        <f>IF(U735&lt;&gt;"",ROUND(N(K735)/U735*100,1),"")</f>
        <v/>
      </c>
    </row>
    <row r="736">
      <c r="A736" s="3" t="n"/>
      <c r="B736" s="4" t="n"/>
      <c r="C736" s="4" t="n"/>
      <c r="D736" s="5" t="n"/>
      <c r="E736" s="5" t="n"/>
      <c r="F736" s="6">
        <f>IF(AND(D736&lt;&gt;"",E736&lt;&gt;""),ROUND((E736-D736)*1440,0),"")</f>
        <v/>
      </c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6">
        <f>IF(C736="착유장",기준값!$B$3,IF(C736="건유·육성우동",기준값!$B$2,""))</f>
        <v/>
      </c>
      <c r="V736" s="6">
        <f>IF(AND(F736&lt;&gt;"",F736&gt;0,U736&lt;&gt;""),ROUND((U736-N(K736))/(F736/60),0),"")</f>
        <v/>
      </c>
      <c r="W736" s="6">
        <f>IF(U736&lt;&gt;"",ROUND(N(K736)/U736*100,1),"")</f>
        <v/>
      </c>
    </row>
    <row r="737">
      <c r="A737" s="3" t="n"/>
      <c r="B737" s="4" t="n"/>
      <c r="C737" s="4" t="n"/>
      <c r="D737" s="5" t="n"/>
      <c r="E737" s="5" t="n"/>
      <c r="F737" s="6">
        <f>IF(AND(D737&lt;&gt;"",E737&lt;&gt;""),ROUND((E737-D737)*1440,0),"")</f>
        <v/>
      </c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6">
        <f>IF(C737="착유장",기준값!$B$3,IF(C737="건유·육성우동",기준값!$B$2,""))</f>
        <v/>
      </c>
      <c r="V737" s="6">
        <f>IF(AND(F737&lt;&gt;"",F737&gt;0,U737&lt;&gt;""),ROUND((U737-N(K737))/(F737/60),0),"")</f>
        <v/>
      </c>
      <c r="W737" s="6">
        <f>IF(U737&lt;&gt;"",ROUND(N(K737)/U737*100,1),"")</f>
        <v/>
      </c>
    </row>
    <row r="738">
      <c r="A738" s="3" t="n"/>
      <c r="B738" s="4" t="n"/>
      <c r="C738" s="4" t="n"/>
      <c r="D738" s="5" t="n"/>
      <c r="E738" s="5" t="n"/>
      <c r="F738" s="6">
        <f>IF(AND(D738&lt;&gt;"",E738&lt;&gt;""),ROUND((E738-D738)*1440,0),"")</f>
        <v/>
      </c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6">
        <f>IF(C738="착유장",기준값!$B$3,IF(C738="건유·육성우동",기준값!$B$2,""))</f>
        <v/>
      </c>
      <c r="V738" s="6">
        <f>IF(AND(F738&lt;&gt;"",F738&gt;0,U738&lt;&gt;""),ROUND((U738-N(K738))/(F738/60),0),"")</f>
        <v/>
      </c>
      <c r="W738" s="6">
        <f>IF(U738&lt;&gt;"",ROUND(N(K738)/U738*100,1),"")</f>
        <v/>
      </c>
    </row>
    <row r="739">
      <c r="A739" s="3" t="n"/>
      <c r="B739" s="4" t="n"/>
      <c r="C739" s="4" t="n"/>
      <c r="D739" s="5" t="n"/>
      <c r="E739" s="5" t="n"/>
      <c r="F739" s="6">
        <f>IF(AND(D739&lt;&gt;"",E739&lt;&gt;""),ROUND((E739-D739)*1440,0),"")</f>
        <v/>
      </c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6">
        <f>IF(C739="착유장",기준값!$B$3,IF(C739="건유·육성우동",기준값!$B$2,""))</f>
        <v/>
      </c>
      <c r="V739" s="6">
        <f>IF(AND(F739&lt;&gt;"",F739&gt;0,U739&lt;&gt;""),ROUND((U739-N(K739))/(F739/60),0),"")</f>
        <v/>
      </c>
      <c r="W739" s="6">
        <f>IF(U739&lt;&gt;"",ROUND(N(K739)/U739*100,1),"")</f>
        <v/>
      </c>
    </row>
    <row r="740">
      <c r="A740" s="3" t="n"/>
      <c r="B740" s="4" t="n"/>
      <c r="C740" s="4" t="n"/>
      <c r="D740" s="5" t="n"/>
      <c r="E740" s="5" t="n"/>
      <c r="F740" s="6">
        <f>IF(AND(D740&lt;&gt;"",E740&lt;&gt;""),ROUND((E740-D740)*1440,0),"")</f>
        <v/>
      </c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6">
        <f>IF(C740="착유장",기준값!$B$3,IF(C740="건유·육성우동",기준값!$B$2,""))</f>
        <v/>
      </c>
      <c r="V740" s="6">
        <f>IF(AND(F740&lt;&gt;"",F740&gt;0,U740&lt;&gt;""),ROUND((U740-N(K740))/(F740/60),0),"")</f>
        <v/>
      </c>
      <c r="W740" s="6">
        <f>IF(U740&lt;&gt;"",ROUND(N(K740)/U740*100,1),"")</f>
        <v/>
      </c>
    </row>
    <row r="741">
      <c r="A741" s="3" t="n"/>
      <c r="B741" s="4" t="n"/>
      <c r="C741" s="4" t="n"/>
      <c r="D741" s="5" t="n"/>
      <c r="E741" s="5" t="n"/>
      <c r="F741" s="6">
        <f>IF(AND(D741&lt;&gt;"",E741&lt;&gt;""),ROUND((E741-D741)*1440,0),"")</f>
        <v/>
      </c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6">
        <f>IF(C741="착유장",기준값!$B$3,IF(C741="건유·육성우동",기준값!$B$2,""))</f>
        <v/>
      </c>
      <c r="V741" s="6">
        <f>IF(AND(F741&lt;&gt;"",F741&gt;0,U741&lt;&gt;""),ROUND((U741-N(K741))/(F741/60),0),"")</f>
        <v/>
      </c>
      <c r="W741" s="6">
        <f>IF(U741&lt;&gt;"",ROUND(N(K741)/U741*100,1),"")</f>
        <v/>
      </c>
    </row>
    <row r="742">
      <c r="A742" s="3" t="n"/>
      <c r="B742" s="4" t="n"/>
      <c r="C742" s="4" t="n"/>
      <c r="D742" s="5" t="n"/>
      <c r="E742" s="5" t="n"/>
      <c r="F742" s="6">
        <f>IF(AND(D742&lt;&gt;"",E742&lt;&gt;""),ROUND((E742-D742)*1440,0),"")</f>
        <v/>
      </c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6">
        <f>IF(C742="착유장",기준값!$B$3,IF(C742="건유·육성우동",기준값!$B$2,""))</f>
        <v/>
      </c>
      <c r="V742" s="6">
        <f>IF(AND(F742&lt;&gt;"",F742&gt;0,U742&lt;&gt;""),ROUND((U742-N(K742))/(F742/60),0),"")</f>
        <v/>
      </c>
      <c r="W742" s="6">
        <f>IF(U742&lt;&gt;"",ROUND(N(K742)/U742*100,1),"")</f>
        <v/>
      </c>
    </row>
    <row r="743">
      <c r="A743" s="3" t="n"/>
      <c r="B743" s="4" t="n"/>
      <c r="C743" s="4" t="n"/>
      <c r="D743" s="5" t="n"/>
      <c r="E743" s="5" t="n"/>
      <c r="F743" s="6">
        <f>IF(AND(D743&lt;&gt;"",E743&lt;&gt;""),ROUND((E743-D743)*1440,0),"")</f>
        <v/>
      </c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6">
        <f>IF(C743="착유장",기준값!$B$3,IF(C743="건유·육성우동",기준값!$B$2,""))</f>
        <v/>
      </c>
      <c r="V743" s="6">
        <f>IF(AND(F743&lt;&gt;"",F743&gt;0,U743&lt;&gt;""),ROUND((U743-N(K743))/(F743/60),0),"")</f>
        <v/>
      </c>
      <c r="W743" s="6">
        <f>IF(U743&lt;&gt;"",ROUND(N(K743)/U743*100,1),"")</f>
        <v/>
      </c>
    </row>
    <row r="744">
      <c r="A744" s="3" t="n"/>
      <c r="B744" s="4" t="n"/>
      <c r="C744" s="4" t="n"/>
      <c r="D744" s="5" t="n"/>
      <c r="E744" s="5" t="n"/>
      <c r="F744" s="6">
        <f>IF(AND(D744&lt;&gt;"",E744&lt;&gt;""),ROUND((E744-D744)*1440,0),"")</f>
        <v/>
      </c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6">
        <f>IF(C744="착유장",기준값!$B$3,IF(C744="건유·육성우동",기준값!$B$2,""))</f>
        <v/>
      </c>
      <c r="V744" s="6">
        <f>IF(AND(F744&lt;&gt;"",F744&gt;0,U744&lt;&gt;""),ROUND((U744-N(K744))/(F744/60),0),"")</f>
        <v/>
      </c>
      <c r="W744" s="6">
        <f>IF(U744&lt;&gt;"",ROUND(N(K744)/U744*100,1),"")</f>
        <v/>
      </c>
    </row>
    <row r="745">
      <c r="A745" s="3" t="n"/>
      <c r="B745" s="4" t="n"/>
      <c r="C745" s="4" t="n"/>
      <c r="D745" s="5" t="n"/>
      <c r="E745" s="5" t="n"/>
      <c r="F745" s="6">
        <f>IF(AND(D745&lt;&gt;"",E745&lt;&gt;""),ROUND((E745-D745)*1440,0),"")</f>
        <v/>
      </c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6">
        <f>IF(C745="착유장",기준값!$B$3,IF(C745="건유·육성우동",기준값!$B$2,""))</f>
        <v/>
      </c>
      <c r="V745" s="6">
        <f>IF(AND(F745&lt;&gt;"",F745&gt;0,U745&lt;&gt;""),ROUND((U745-N(K745))/(F745/60),0),"")</f>
        <v/>
      </c>
      <c r="W745" s="6">
        <f>IF(U745&lt;&gt;"",ROUND(N(K745)/U745*100,1),"")</f>
        <v/>
      </c>
    </row>
    <row r="746">
      <c r="A746" s="3" t="n"/>
      <c r="B746" s="4" t="n"/>
      <c r="C746" s="4" t="n"/>
      <c r="D746" s="5" t="n"/>
      <c r="E746" s="5" t="n"/>
      <c r="F746" s="6">
        <f>IF(AND(D746&lt;&gt;"",E746&lt;&gt;""),ROUND((E746-D746)*1440,0),"")</f>
        <v/>
      </c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6">
        <f>IF(C746="착유장",기준값!$B$3,IF(C746="건유·육성우동",기준값!$B$2,""))</f>
        <v/>
      </c>
      <c r="V746" s="6">
        <f>IF(AND(F746&lt;&gt;"",F746&gt;0,U746&lt;&gt;""),ROUND((U746-N(K746))/(F746/60),0),"")</f>
        <v/>
      </c>
      <c r="W746" s="6">
        <f>IF(U746&lt;&gt;"",ROUND(N(K746)/U746*100,1),"")</f>
        <v/>
      </c>
    </row>
    <row r="747">
      <c r="A747" s="3" t="n"/>
      <c r="B747" s="4" t="n"/>
      <c r="C747" s="4" t="n"/>
      <c r="D747" s="5" t="n"/>
      <c r="E747" s="5" t="n"/>
      <c r="F747" s="6">
        <f>IF(AND(D747&lt;&gt;"",E747&lt;&gt;""),ROUND((E747-D747)*1440,0),"")</f>
        <v/>
      </c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6">
        <f>IF(C747="착유장",기준값!$B$3,IF(C747="건유·육성우동",기준값!$B$2,""))</f>
        <v/>
      </c>
      <c r="V747" s="6">
        <f>IF(AND(F747&lt;&gt;"",F747&gt;0,U747&lt;&gt;""),ROUND((U747-N(K747))/(F747/60),0),"")</f>
        <v/>
      </c>
      <c r="W747" s="6">
        <f>IF(U747&lt;&gt;"",ROUND(N(K747)/U747*100,1),"")</f>
        <v/>
      </c>
    </row>
    <row r="748">
      <c r="A748" s="3" t="n"/>
      <c r="B748" s="4" t="n"/>
      <c r="C748" s="4" t="n"/>
      <c r="D748" s="5" t="n"/>
      <c r="E748" s="5" t="n"/>
      <c r="F748" s="6">
        <f>IF(AND(D748&lt;&gt;"",E748&lt;&gt;""),ROUND((E748-D748)*1440,0),"")</f>
        <v/>
      </c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6">
        <f>IF(C748="착유장",기준값!$B$3,IF(C748="건유·육성우동",기준값!$B$2,""))</f>
        <v/>
      </c>
      <c r="V748" s="6">
        <f>IF(AND(F748&lt;&gt;"",F748&gt;0,U748&lt;&gt;""),ROUND((U748-N(K748))/(F748/60),0),"")</f>
        <v/>
      </c>
      <c r="W748" s="6">
        <f>IF(U748&lt;&gt;"",ROUND(N(K748)/U748*100,1),"")</f>
        <v/>
      </c>
    </row>
    <row r="749">
      <c r="A749" s="3" t="n"/>
      <c r="B749" s="4" t="n"/>
      <c r="C749" s="4" t="n"/>
      <c r="D749" s="5" t="n"/>
      <c r="E749" s="5" t="n"/>
      <c r="F749" s="6">
        <f>IF(AND(D749&lt;&gt;"",E749&lt;&gt;""),ROUND((E749-D749)*1440,0),"")</f>
        <v/>
      </c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6">
        <f>IF(C749="착유장",기준값!$B$3,IF(C749="건유·육성우동",기준값!$B$2,""))</f>
        <v/>
      </c>
      <c r="V749" s="6">
        <f>IF(AND(F749&lt;&gt;"",F749&gt;0,U749&lt;&gt;""),ROUND((U749-N(K749))/(F749/60),0),"")</f>
        <v/>
      </c>
      <c r="W749" s="6">
        <f>IF(U749&lt;&gt;"",ROUND(N(K749)/U749*100,1),"")</f>
        <v/>
      </c>
    </row>
    <row r="750">
      <c r="A750" s="3" t="n"/>
      <c r="B750" s="4" t="n"/>
      <c r="C750" s="4" t="n"/>
      <c r="D750" s="5" t="n"/>
      <c r="E750" s="5" t="n"/>
      <c r="F750" s="6">
        <f>IF(AND(D750&lt;&gt;"",E750&lt;&gt;""),ROUND((E750-D750)*1440,0),"")</f>
        <v/>
      </c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6">
        <f>IF(C750="착유장",기준값!$B$3,IF(C750="건유·육성우동",기준값!$B$2,""))</f>
        <v/>
      </c>
      <c r="V750" s="6">
        <f>IF(AND(F750&lt;&gt;"",F750&gt;0,U750&lt;&gt;""),ROUND((U750-N(K750))/(F750/60),0),"")</f>
        <v/>
      </c>
      <c r="W750" s="6">
        <f>IF(U750&lt;&gt;"",ROUND(N(K750)/U750*100,1),"")</f>
        <v/>
      </c>
    </row>
    <row r="751">
      <c r="A751" s="3" t="n"/>
      <c r="B751" s="4" t="n"/>
      <c r="C751" s="4" t="n"/>
      <c r="D751" s="5" t="n"/>
      <c r="E751" s="5" t="n"/>
      <c r="F751" s="6">
        <f>IF(AND(D751&lt;&gt;"",E751&lt;&gt;""),ROUND((E751-D751)*1440,0),"")</f>
        <v/>
      </c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6">
        <f>IF(C751="착유장",기준값!$B$3,IF(C751="건유·육성우동",기준값!$B$2,""))</f>
        <v/>
      </c>
      <c r="V751" s="6">
        <f>IF(AND(F751&lt;&gt;"",F751&gt;0,U751&lt;&gt;""),ROUND((U751-N(K751))/(F751/60),0),"")</f>
        <v/>
      </c>
      <c r="W751" s="6">
        <f>IF(U751&lt;&gt;"",ROUND(N(K751)/U751*100,1),"")</f>
        <v/>
      </c>
    </row>
    <row r="752">
      <c r="A752" s="3" t="n"/>
      <c r="B752" s="4" t="n"/>
      <c r="C752" s="4" t="n"/>
      <c r="D752" s="5" t="n"/>
      <c r="E752" s="5" t="n"/>
      <c r="F752" s="6">
        <f>IF(AND(D752&lt;&gt;"",E752&lt;&gt;""),ROUND((E752-D752)*1440,0),"")</f>
        <v/>
      </c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6">
        <f>IF(C752="착유장",기준값!$B$3,IF(C752="건유·육성우동",기준값!$B$2,""))</f>
        <v/>
      </c>
      <c r="V752" s="6">
        <f>IF(AND(F752&lt;&gt;"",F752&gt;0,U752&lt;&gt;""),ROUND((U752-N(K752))/(F752/60),0),"")</f>
        <v/>
      </c>
      <c r="W752" s="6">
        <f>IF(U752&lt;&gt;"",ROUND(N(K752)/U752*100,1),"")</f>
        <v/>
      </c>
    </row>
    <row r="753">
      <c r="A753" s="3" t="n"/>
      <c r="B753" s="4" t="n"/>
      <c r="C753" s="4" t="n"/>
      <c r="D753" s="5" t="n"/>
      <c r="E753" s="5" t="n"/>
      <c r="F753" s="6">
        <f>IF(AND(D753&lt;&gt;"",E753&lt;&gt;""),ROUND((E753-D753)*1440,0),"")</f>
        <v/>
      </c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6">
        <f>IF(C753="착유장",기준값!$B$3,IF(C753="건유·육성우동",기준값!$B$2,""))</f>
        <v/>
      </c>
      <c r="V753" s="6">
        <f>IF(AND(F753&lt;&gt;"",F753&gt;0,U753&lt;&gt;""),ROUND((U753-N(K753))/(F753/60),0),"")</f>
        <v/>
      </c>
      <c r="W753" s="6">
        <f>IF(U753&lt;&gt;"",ROUND(N(K753)/U753*100,1),"")</f>
        <v/>
      </c>
    </row>
    <row r="754">
      <c r="A754" s="3" t="n"/>
      <c r="B754" s="4" t="n"/>
      <c r="C754" s="4" t="n"/>
      <c r="D754" s="5" t="n"/>
      <c r="E754" s="5" t="n"/>
      <c r="F754" s="6">
        <f>IF(AND(D754&lt;&gt;"",E754&lt;&gt;""),ROUND((E754-D754)*1440,0),"")</f>
        <v/>
      </c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6">
        <f>IF(C754="착유장",기준값!$B$3,IF(C754="건유·육성우동",기준값!$B$2,""))</f>
        <v/>
      </c>
      <c r="V754" s="6">
        <f>IF(AND(F754&lt;&gt;"",F754&gt;0,U754&lt;&gt;""),ROUND((U754-N(K754))/(F754/60),0),"")</f>
        <v/>
      </c>
      <c r="W754" s="6">
        <f>IF(U754&lt;&gt;"",ROUND(N(K754)/U754*100,1),"")</f>
        <v/>
      </c>
    </row>
    <row r="755">
      <c r="A755" s="3" t="n"/>
      <c r="B755" s="4" t="n"/>
      <c r="C755" s="4" t="n"/>
      <c r="D755" s="5" t="n"/>
      <c r="E755" s="5" t="n"/>
      <c r="F755" s="6">
        <f>IF(AND(D755&lt;&gt;"",E755&lt;&gt;""),ROUND((E755-D755)*1440,0),"")</f>
        <v/>
      </c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6">
        <f>IF(C755="착유장",기준값!$B$3,IF(C755="건유·육성우동",기준값!$B$2,""))</f>
        <v/>
      </c>
      <c r="V755" s="6">
        <f>IF(AND(F755&lt;&gt;"",F755&gt;0,U755&lt;&gt;""),ROUND((U755-N(K755))/(F755/60),0),"")</f>
        <v/>
      </c>
      <c r="W755" s="6">
        <f>IF(U755&lt;&gt;"",ROUND(N(K755)/U755*100,1),"")</f>
        <v/>
      </c>
    </row>
    <row r="756">
      <c r="A756" s="3" t="n"/>
      <c r="B756" s="4" t="n"/>
      <c r="C756" s="4" t="n"/>
      <c r="D756" s="5" t="n"/>
      <c r="E756" s="5" t="n"/>
      <c r="F756" s="6">
        <f>IF(AND(D756&lt;&gt;"",E756&lt;&gt;""),ROUND((E756-D756)*1440,0),"")</f>
        <v/>
      </c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6">
        <f>IF(C756="착유장",기준값!$B$3,IF(C756="건유·육성우동",기준값!$B$2,""))</f>
        <v/>
      </c>
      <c r="V756" s="6">
        <f>IF(AND(F756&lt;&gt;"",F756&gt;0,U756&lt;&gt;""),ROUND((U756-N(K756))/(F756/60),0),"")</f>
        <v/>
      </c>
      <c r="W756" s="6">
        <f>IF(U756&lt;&gt;"",ROUND(N(K756)/U756*100,1),"")</f>
        <v/>
      </c>
    </row>
    <row r="757">
      <c r="A757" s="3" t="n"/>
      <c r="B757" s="4" t="n"/>
      <c r="C757" s="4" t="n"/>
      <c r="D757" s="5" t="n"/>
      <c r="E757" s="5" t="n"/>
      <c r="F757" s="6">
        <f>IF(AND(D757&lt;&gt;"",E757&lt;&gt;""),ROUND((E757-D757)*1440,0),"")</f>
        <v/>
      </c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6">
        <f>IF(C757="착유장",기준값!$B$3,IF(C757="건유·육성우동",기준값!$B$2,""))</f>
        <v/>
      </c>
      <c r="V757" s="6">
        <f>IF(AND(F757&lt;&gt;"",F757&gt;0,U757&lt;&gt;""),ROUND((U757-N(K757))/(F757/60),0),"")</f>
        <v/>
      </c>
      <c r="W757" s="6">
        <f>IF(U757&lt;&gt;"",ROUND(N(K757)/U757*100,1),"")</f>
        <v/>
      </c>
    </row>
    <row r="758">
      <c r="A758" s="3" t="n"/>
      <c r="B758" s="4" t="n"/>
      <c r="C758" s="4" t="n"/>
      <c r="D758" s="5" t="n"/>
      <c r="E758" s="5" t="n"/>
      <c r="F758" s="6">
        <f>IF(AND(D758&lt;&gt;"",E758&lt;&gt;""),ROUND((E758-D758)*1440,0),"")</f>
        <v/>
      </c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6">
        <f>IF(C758="착유장",기준값!$B$3,IF(C758="건유·육성우동",기준값!$B$2,""))</f>
        <v/>
      </c>
      <c r="V758" s="6">
        <f>IF(AND(F758&lt;&gt;"",F758&gt;0,U758&lt;&gt;""),ROUND((U758-N(K758))/(F758/60),0),"")</f>
        <v/>
      </c>
      <c r="W758" s="6">
        <f>IF(U758&lt;&gt;"",ROUND(N(K758)/U758*100,1),"")</f>
        <v/>
      </c>
    </row>
    <row r="759">
      <c r="A759" s="3" t="n"/>
      <c r="B759" s="4" t="n"/>
      <c r="C759" s="4" t="n"/>
      <c r="D759" s="5" t="n"/>
      <c r="E759" s="5" t="n"/>
      <c r="F759" s="6">
        <f>IF(AND(D759&lt;&gt;"",E759&lt;&gt;""),ROUND((E759-D759)*1440,0),"")</f>
        <v/>
      </c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6">
        <f>IF(C759="착유장",기준값!$B$3,IF(C759="건유·육성우동",기준값!$B$2,""))</f>
        <v/>
      </c>
      <c r="V759" s="6">
        <f>IF(AND(F759&lt;&gt;"",F759&gt;0,U759&lt;&gt;""),ROUND((U759-N(K759))/(F759/60),0),"")</f>
        <v/>
      </c>
      <c r="W759" s="6">
        <f>IF(U759&lt;&gt;"",ROUND(N(K759)/U759*100,1),"")</f>
        <v/>
      </c>
    </row>
    <row r="760">
      <c r="A760" s="3" t="n"/>
      <c r="B760" s="4" t="n"/>
      <c r="C760" s="4" t="n"/>
      <c r="D760" s="5" t="n"/>
      <c r="E760" s="5" t="n"/>
      <c r="F760" s="6">
        <f>IF(AND(D760&lt;&gt;"",E760&lt;&gt;""),ROUND((E760-D760)*1440,0),"")</f>
        <v/>
      </c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6">
        <f>IF(C760="착유장",기준값!$B$3,IF(C760="건유·육성우동",기준값!$B$2,""))</f>
        <v/>
      </c>
      <c r="V760" s="6">
        <f>IF(AND(F760&lt;&gt;"",F760&gt;0,U760&lt;&gt;""),ROUND((U760-N(K760))/(F760/60),0),"")</f>
        <v/>
      </c>
      <c r="W760" s="6">
        <f>IF(U760&lt;&gt;"",ROUND(N(K760)/U760*100,1),"")</f>
        <v/>
      </c>
    </row>
    <row r="761">
      <c r="A761" s="3" t="n"/>
      <c r="B761" s="4" t="n"/>
      <c r="C761" s="4" t="n"/>
      <c r="D761" s="5" t="n"/>
      <c r="E761" s="5" t="n"/>
      <c r="F761" s="6">
        <f>IF(AND(D761&lt;&gt;"",E761&lt;&gt;""),ROUND((E761-D761)*1440,0),"")</f>
        <v/>
      </c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6">
        <f>IF(C761="착유장",기준값!$B$3,IF(C761="건유·육성우동",기준값!$B$2,""))</f>
        <v/>
      </c>
      <c r="V761" s="6">
        <f>IF(AND(F761&lt;&gt;"",F761&gt;0,U761&lt;&gt;""),ROUND((U761-N(K761))/(F761/60),0),"")</f>
        <v/>
      </c>
      <c r="W761" s="6">
        <f>IF(U761&lt;&gt;"",ROUND(N(K761)/U761*100,1),"")</f>
        <v/>
      </c>
    </row>
    <row r="762">
      <c r="A762" s="3" t="n"/>
      <c r="B762" s="4" t="n"/>
      <c r="C762" s="4" t="n"/>
      <c r="D762" s="5" t="n"/>
      <c r="E762" s="5" t="n"/>
      <c r="F762" s="6">
        <f>IF(AND(D762&lt;&gt;"",E762&lt;&gt;""),ROUND((E762-D762)*1440,0),"")</f>
        <v/>
      </c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6">
        <f>IF(C762="착유장",기준값!$B$3,IF(C762="건유·육성우동",기준값!$B$2,""))</f>
        <v/>
      </c>
      <c r="V762" s="6">
        <f>IF(AND(F762&lt;&gt;"",F762&gt;0,U762&lt;&gt;""),ROUND((U762-N(K762))/(F762/60),0),"")</f>
        <v/>
      </c>
      <c r="W762" s="6">
        <f>IF(U762&lt;&gt;"",ROUND(N(K762)/U762*100,1),"")</f>
        <v/>
      </c>
    </row>
    <row r="763">
      <c r="A763" s="3" t="n"/>
      <c r="B763" s="4" t="n"/>
      <c r="C763" s="4" t="n"/>
      <c r="D763" s="5" t="n"/>
      <c r="E763" s="5" t="n"/>
      <c r="F763" s="6">
        <f>IF(AND(D763&lt;&gt;"",E763&lt;&gt;""),ROUND((E763-D763)*1440,0),"")</f>
        <v/>
      </c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6">
        <f>IF(C763="착유장",기준값!$B$3,IF(C763="건유·육성우동",기준값!$B$2,""))</f>
        <v/>
      </c>
      <c r="V763" s="6">
        <f>IF(AND(F763&lt;&gt;"",F763&gt;0,U763&lt;&gt;""),ROUND((U763-N(K763))/(F763/60),0),"")</f>
        <v/>
      </c>
      <c r="W763" s="6">
        <f>IF(U763&lt;&gt;"",ROUND(N(K763)/U763*100,1),"")</f>
        <v/>
      </c>
    </row>
    <row r="764">
      <c r="A764" s="3" t="n"/>
      <c r="B764" s="4" t="n"/>
      <c r="C764" s="4" t="n"/>
      <c r="D764" s="5" t="n"/>
      <c r="E764" s="5" t="n"/>
      <c r="F764" s="6">
        <f>IF(AND(D764&lt;&gt;"",E764&lt;&gt;""),ROUND((E764-D764)*1440,0),"")</f>
        <v/>
      </c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6">
        <f>IF(C764="착유장",기준값!$B$3,IF(C764="건유·육성우동",기준값!$B$2,""))</f>
        <v/>
      </c>
      <c r="V764" s="6">
        <f>IF(AND(F764&lt;&gt;"",F764&gt;0,U764&lt;&gt;""),ROUND((U764-N(K764))/(F764/60),0),"")</f>
        <v/>
      </c>
      <c r="W764" s="6">
        <f>IF(U764&lt;&gt;"",ROUND(N(K764)/U764*100,1),"")</f>
        <v/>
      </c>
    </row>
    <row r="765">
      <c r="A765" s="3" t="n"/>
      <c r="B765" s="4" t="n"/>
      <c r="C765" s="4" t="n"/>
      <c r="D765" s="5" t="n"/>
      <c r="E765" s="5" t="n"/>
      <c r="F765" s="6">
        <f>IF(AND(D765&lt;&gt;"",E765&lt;&gt;""),ROUND((E765-D765)*1440,0),"")</f>
        <v/>
      </c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6">
        <f>IF(C765="착유장",기준값!$B$3,IF(C765="건유·육성우동",기준값!$B$2,""))</f>
        <v/>
      </c>
      <c r="V765" s="6">
        <f>IF(AND(F765&lt;&gt;"",F765&gt;0,U765&lt;&gt;""),ROUND((U765-N(K765))/(F765/60),0),"")</f>
        <v/>
      </c>
      <c r="W765" s="6">
        <f>IF(U765&lt;&gt;"",ROUND(N(K765)/U765*100,1),"")</f>
        <v/>
      </c>
    </row>
    <row r="766">
      <c r="A766" s="3" t="n"/>
      <c r="B766" s="4" t="n"/>
      <c r="C766" s="4" t="n"/>
      <c r="D766" s="5" t="n"/>
      <c r="E766" s="5" t="n"/>
      <c r="F766" s="6">
        <f>IF(AND(D766&lt;&gt;"",E766&lt;&gt;""),ROUND((E766-D766)*1440,0),"")</f>
        <v/>
      </c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6">
        <f>IF(C766="착유장",기준값!$B$3,IF(C766="건유·육성우동",기준값!$B$2,""))</f>
        <v/>
      </c>
      <c r="V766" s="6">
        <f>IF(AND(F766&lt;&gt;"",F766&gt;0,U766&lt;&gt;""),ROUND((U766-N(K766))/(F766/60),0),"")</f>
        <v/>
      </c>
      <c r="W766" s="6">
        <f>IF(U766&lt;&gt;"",ROUND(N(K766)/U766*100,1),"")</f>
        <v/>
      </c>
    </row>
    <row r="767">
      <c r="A767" s="3" t="n"/>
      <c r="B767" s="4" t="n"/>
      <c r="C767" s="4" t="n"/>
      <c r="D767" s="5" t="n"/>
      <c r="E767" s="5" t="n"/>
      <c r="F767" s="6">
        <f>IF(AND(D767&lt;&gt;"",E767&lt;&gt;""),ROUND((E767-D767)*1440,0),"")</f>
        <v/>
      </c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6">
        <f>IF(C767="착유장",기준값!$B$3,IF(C767="건유·육성우동",기준값!$B$2,""))</f>
        <v/>
      </c>
      <c r="V767" s="6">
        <f>IF(AND(F767&lt;&gt;"",F767&gt;0,U767&lt;&gt;""),ROUND((U767-N(K767))/(F767/60),0),"")</f>
        <v/>
      </c>
      <c r="W767" s="6">
        <f>IF(U767&lt;&gt;"",ROUND(N(K767)/U767*100,1),"")</f>
        <v/>
      </c>
    </row>
    <row r="768">
      <c r="A768" s="3" t="n"/>
      <c r="B768" s="4" t="n"/>
      <c r="C768" s="4" t="n"/>
      <c r="D768" s="5" t="n"/>
      <c r="E768" s="5" t="n"/>
      <c r="F768" s="6">
        <f>IF(AND(D768&lt;&gt;"",E768&lt;&gt;""),ROUND((E768-D768)*1440,0),"")</f>
        <v/>
      </c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6">
        <f>IF(C768="착유장",기준값!$B$3,IF(C768="건유·육성우동",기준값!$B$2,""))</f>
        <v/>
      </c>
      <c r="V768" s="6">
        <f>IF(AND(F768&lt;&gt;"",F768&gt;0,U768&lt;&gt;""),ROUND((U768-N(K768))/(F768/60),0),"")</f>
        <v/>
      </c>
      <c r="W768" s="6">
        <f>IF(U768&lt;&gt;"",ROUND(N(K768)/U768*100,1),"")</f>
        <v/>
      </c>
    </row>
    <row r="769">
      <c r="A769" s="3" t="n"/>
      <c r="B769" s="4" t="n"/>
      <c r="C769" s="4" t="n"/>
      <c r="D769" s="5" t="n"/>
      <c r="E769" s="5" t="n"/>
      <c r="F769" s="6">
        <f>IF(AND(D769&lt;&gt;"",E769&lt;&gt;""),ROUND((E769-D769)*1440,0),"")</f>
        <v/>
      </c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6">
        <f>IF(C769="착유장",기준값!$B$3,IF(C769="건유·육성우동",기준값!$B$2,""))</f>
        <v/>
      </c>
      <c r="V769" s="6">
        <f>IF(AND(F769&lt;&gt;"",F769&gt;0,U769&lt;&gt;""),ROUND((U769-N(K769))/(F769/60),0),"")</f>
        <v/>
      </c>
      <c r="W769" s="6">
        <f>IF(U769&lt;&gt;"",ROUND(N(K769)/U769*100,1),"")</f>
        <v/>
      </c>
    </row>
    <row r="770">
      <c r="A770" s="3" t="n"/>
      <c r="B770" s="4" t="n"/>
      <c r="C770" s="4" t="n"/>
      <c r="D770" s="5" t="n"/>
      <c r="E770" s="5" t="n"/>
      <c r="F770" s="6">
        <f>IF(AND(D770&lt;&gt;"",E770&lt;&gt;""),ROUND((E770-D770)*1440,0),"")</f>
        <v/>
      </c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6">
        <f>IF(C770="착유장",기준값!$B$3,IF(C770="건유·육성우동",기준값!$B$2,""))</f>
        <v/>
      </c>
      <c r="V770" s="6">
        <f>IF(AND(F770&lt;&gt;"",F770&gt;0,U770&lt;&gt;""),ROUND((U770-N(K770))/(F770/60),0),"")</f>
        <v/>
      </c>
      <c r="W770" s="6">
        <f>IF(U770&lt;&gt;"",ROUND(N(K770)/U770*100,1),"")</f>
        <v/>
      </c>
    </row>
    <row r="771">
      <c r="A771" s="3" t="n"/>
      <c r="B771" s="4" t="n"/>
      <c r="C771" s="4" t="n"/>
      <c r="D771" s="5" t="n"/>
      <c r="E771" s="5" t="n"/>
      <c r="F771" s="6">
        <f>IF(AND(D771&lt;&gt;"",E771&lt;&gt;""),ROUND((E771-D771)*1440,0),"")</f>
        <v/>
      </c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6">
        <f>IF(C771="착유장",기준값!$B$3,IF(C771="건유·육성우동",기준값!$B$2,""))</f>
        <v/>
      </c>
      <c r="V771" s="6">
        <f>IF(AND(F771&lt;&gt;"",F771&gt;0,U771&lt;&gt;""),ROUND((U771-N(K771))/(F771/60),0),"")</f>
        <v/>
      </c>
      <c r="W771" s="6">
        <f>IF(U771&lt;&gt;"",ROUND(N(K771)/U771*100,1),"")</f>
        <v/>
      </c>
    </row>
    <row r="772">
      <c r="A772" s="3" t="n"/>
      <c r="B772" s="4" t="n"/>
      <c r="C772" s="4" t="n"/>
      <c r="D772" s="5" t="n"/>
      <c r="E772" s="5" t="n"/>
      <c r="F772" s="6">
        <f>IF(AND(D772&lt;&gt;"",E772&lt;&gt;""),ROUND((E772-D772)*1440,0),"")</f>
        <v/>
      </c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6">
        <f>IF(C772="착유장",기준값!$B$3,IF(C772="건유·육성우동",기준값!$B$2,""))</f>
        <v/>
      </c>
      <c r="V772" s="6">
        <f>IF(AND(F772&lt;&gt;"",F772&gt;0,U772&lt;&gt;""),ROUND((U772-N(K772))/(F772/60),0),"")</f>
        <v/>
      </c>
      <c r="W772" s="6">
        <f>IF(U772&lt;&gt;"",ROUND(N(K772)/U772*100,1),"")</f>
        <v/>
      </c>
    </row>
    <row r="773">
      <c r="A773" s="3" t="n"/>
      <c r="B773" s="4" t="n"/>
      <c r="C773" s="4" t="n"/>
      <c r="D773" s="5" t="n"/>
      <c r="E773" s="5" t="n"/>
      <c r="F773" s="6">
        <f>IF(AND(D773&lt;&gt;"",E773&lt;&gt;""),ROUND((E773-D773)*1440,0),"")</f>
        <v/>
      </c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6">
        <f>IF(C773="착유장",기준값!$B$3,IF(C773="건유·육성우동",기준값!$B$2,""))</f>
        <v/>
      </c>
      <c r="V773" s="6">
        <f>IF(AND(F773&lt;&gt;"",F773&gt;0,U773&lt;&gt;""),ROUND((U773-N(K773))/(F773/60),0),"")</f>
        <v/>
      </c>
      <c r="W773" s="6">
        <f>IF(U773&lt;&gt;"",ROUND(N(K773)/U773*100,1),"")</f>
        <v/>
      </c>
    </row>
    <row r="774">
      <c r="A774" s="3" t="n"/>
      <c r="B774" s="4" t="n"/>
      <c r="C774" s="4" t="n"/>
      <c r="D774" s="5" t="n"/>
      <c r="E774" s="5" t="n"/>
      <c r="F774" s="6">
        <f>IF(AND(D774&lt;&gt;"",E774&lt;&gt;""),ROUND((E774-D774)*1440,0),"")</f>
        <v/>
      </c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6">
        <f>IF(C774="착유장",기준값!$B$3,IF(C774="건유·육성우동",기준값!$B$2,""))</f>
        <v/>
      </c>
      <c r="V774" s="6">
        <f>IF(AND(F774&lt;&gt;"",F774&gt;0,U774&lt;&gt;""),ROUND((U774-N(K774))/(F774/60),0),"")</f>
        <v/>
      </c>
      <c r="W774" s="6">
        <f>IF(U774&lt;&gt;"",ROUND(N(K774)/U774*100,1),"")</f>
        <v/>
      </c>
    </row>
    <row r="775">
      <c r="A775" s="3" t="n"/>
      <c r="B775" s="4" t="n"/>
      <c r="C775" s="4" t="n"/>
      <c r="D775" s="5" t="n"/>
      <c r="E775" s="5" t="n"/>
      <c r="F775" s="6">
        <f>IF(AND(D775&lt;&gt;"",E775&lt;&gt;""),ROUND((E775-D775)*1440,0),"")</f>
        <v/>
      </c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6">
        <f>IF(C775="착유장",기준값!$B$3,IF(C775="건유·육성우동",기준값!$B$2,""))</f>
        <v/>
      </c>
      <c r="V775" s="6">
        <f>IF(AND(F775&lt;&gt;"",F775&gt;0,U775&lt;&gt;""),ROUND((U775-N(K775))/(F775/60),0),"")</f>
        <v/>
      </c>
      <c r="W775" s="6">
        <f>IF(U775&lt;&gt;"",ROUND(N(K775)/U775*100,1),"")</f>
        <v/>
      </c>
    </row>
    <row r="776">
      <c r="A776" s="3" t="n"/>
      <c r="B776" s="4" t="n"/>
      <c r="C776" s="4" t="n"/>
      <c r="D776" s="5" t="n"/>
      <c r="E776" s="5" t="n"/>
      <c r="F776" s="6">
        <f>IF(AND(D776&lt;&gt;"",E776&lt;&gt;""),ROUND((E776-D776)*1440,0),"")</f>
        <v/>
      </c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6">
        <f>IF(C776="착유장",기준값!$B$3,IF(C776="건유·육성우동",기준값!$B$2,""))</f>
        <v/>
      </c>
      <c r="V776" s="6">
        <f>IF(AND(F776&lt;&gt;"",F776&gt;0,U776&lt;&gt;""),ROUND((U776-N(K776))/(F776/60),0),"")</f>
        <v/>
      </c>
      <c r="W776" s="6">
        <f>IF(U776&lt;&gt;"",ROUND(N(K776)/U776*100,1),"")</f>
        <v/>
      </c>
    </row>
    <row r="777">
      <c r="A777" s="3" t="n"/>
      <c r="B777" s="4" t="n"/>
      <c r="C777" s="4" t="n"/>
      <c r="D777" s="5" t="n"/>
      <c r="E777" s="5" t="n"/>
      <c r="F777" s="6">
        <f>IF(AND(D777&lt;&gt;"",E777&lt;&gt;""),ROUND((E777-D777)*1440,0),"")</f>
        <v/>
      </c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6">
        <f>IF(C777="착유장",기준값!$B$3,IF(C777="건유·육성우동",기준값!$B$2,""))</f>
        <v/>
      </c>
      <c r="V777" s="6">
        <f>IF(AND(F777&lt;&gt;"",F777&gt;0,U777&lt;&gt;""),ROUND((U777-N(K777))/(F777/60),0),"")</f>
        <v/>
      </c>
      <c r="W777" s="6">
        <f>IF(U777&lt;&gt;"",ROUND(N(K777)/U777*100,1),"")</f>
        <v/>
      </c>
    </row>
    <row r="778">
      <c r="A778" s="3" t="n"/>
      <c r="B778" s="4" t="n"/>
      <c r="C778" s="4" t="n"/>
      <c r="D778" s="5" t="n"/>
      <c r="E778" s="5" t="n"/>
      <c r="F778" s="6">
        <f>IF(AND(D778&lt;&gt;"",E778&lt;&gt;""),ROUND((E778-D778)*1440,0),"")</f>
        <v/>
      </c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6">
        <f>IF(C778="착유장",기준값!$B$3,IF(C778="건유·육성우동",기준값!$B$2,""))</f>
        <v/>
      </c>
      <c r="V778" s="6">
        <f>IF(AND(F778&lt;&gt;"",F778&gt;0,U778&lt;&gt;""),ROUND((U778-N(K778))/(F778/60),0),"")</f>
        <v/>
      </c>
      <c r="W778" s="6">
        <f>IF(U778&lt;&gt;"",ROUND(N(K778)/U778*100,1),"")</f>
        <v/>
      </c>
    </row>
    <row r="779">
      <c r="A779" s="3" t="n"/>
      <c r="B779" s="4" t="n"/>
      <c r="C779" s="4" t="n"/>
      <c r="D779" s="5" t="n"/>
      <c r="E779" s="5" t="n"/>
      <c r="F779" s="6">
        <f>IF(AND(D779&lt;&gt;"",E779&lt;&gt;""),ROUND((E779-D779)*1440,0),"")</f>
        <v/>
      </c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6">
        <f>IF(C779="착유장",기준값!$B$3,IF(C779="건유·육성우동",기준값!$B$2,""))</f>
        <v/>
      </c>
      <c r="V779" s="6">
        <f>IF(AND(F779&lt;&gt;"",F779&gt;0,U779&lt;&gt;""),ROUND((U779-N(K779))/(F779/60),0),"")</f>
        <v/>
      </c>
      <c r="W779" s="6">
        <f>IF(U779&lt;&gt;"",ROUND(N(K779)/U779*100,1),"")</f>
        <v/>
      </c>
    </row>
    <row r="780">
      <c r="A780" s="3" t="n"/>
      <c r="B780" s="4" t="n"/>
      <c r="C780" s="4" t="n"/>
      <c r="D780" s="5" t="n"/>
      <c r="E780" s="5" t="n"/>
      <c r="F780" s="6">
        <f>IF(AND(D780&lt;&gt;"",E780&lt;&gt;""),ROUND((E780-D780)*1440,0),"")</f>
        <v/>
      </c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6">
        <f>IF(C780="착유장",기준값!$B$3,IF(C780="건유·육성우동",기준값!$B$2,""))</f>
        <v/>
      </c>
      <c r="V780" s="6">
        <f>IF(AND(F780&lt;&gt;"",F780&gt;0,U780&lt;&gt;""),ROUND((U780-N(K780))/(F780/60),0),"")</f>
        <v/>
      </c>
      <c r="W780" s="6">
        <f>IF(U780&lt;&gt;"",ROUND(N(K780)/U780*100,1),"")</f>
        <v/>
      </c>
    </row>
    <row r="781">
      <c r="A781" s="3" t="n"/>
      <c r="B781" s="4" t="n"/>
      <c r="C781" s="4" t="n"/>
      <c r="D781" s="5" t="n"/>
      <c r="E781" s="5" t="n"/>
      <c r="F781" s="6">
        <f>IF(AND(D781&lt;&gt;"",E781&lt;&gt;""),ROUND((E781-D781)*1440,0),"")</f>
        <v/>
      </c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6">
        <f>IF(C781="착유장",기준값!$B$3,IF(C781="건유·육성우동",기준값!$B$2,""))</f>
        <v/>
      </c>
      <c r="V781" s="6">
        <f>IF(AND(F781&lt;&gt;"",F781&gt;0,U781&lt;&gt;""),ROUND((U781-N(K781))/(F781/60),0),"")</f>
        <v/>
      </c>
      <c r="W781" s="6">
        <f>IF(U781&lt;&gt;"",ROUND(N(K781)/U781*100,1),"")</f>
        <v/>
      </c>
    </row>
    <row r="782">
      <c r="A782" s="3" t="n"/>
      <c r="B782" s="4" t="n"/>
      <c r="C782" s="4" t="n"/>
      <c r="D782" s="5" t="n"/>
      <c r="E782" s="5" t="n"/>
      <c r="F782" s="6">
        <f>IF(AND(D782&lt;&gt;"",E782&lt;&gt;""),ROUND((E782-D782)*1440,0),"")</f>
        <v/>
      </c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6">
        <f>IF(C782="착유장",기준값!$B$3,IF(C782="건유·육성우동",기준값!$B$2,""))</f>
        <v/>
      </c>
      <c r="V782" s="6">
        <f>IF(AND(F782&lt;&gt;"",F782&gt;0,U782&lt;&gt;""),ROUND((U782-N(K782))/(F782/60),0),"")</f>
        <v/>
      </c>
      <c r="W782" s="6">
        <f>IF(U782&lt;&gt;"",ROUND(N(K782)/U782*100,1),"")</f>
        <v/>
      </c>
    </row>
    <row r="783">
      <c r="A783" s="3" t="n"/>
      <c r="B783" s="4" t="n"/>
      <c r="C783" s="4" t="n"/>
      <c r="D783" s="5" t="n"/>
      <c r="E783" s="5" t="n"/>
      <c r="F783" s="6">
        <f>IF(AND(D783&lt;&gt;"",E783&lt;&gt;""),ROUND((E783-D783)*1440,0),"")</f>
        <v/>
      </c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6">
        <f>IF(C783="착유장",기준값!$B$3,IF(C783="건유·육성우동",기준값!$B$2,""))</f>
        <v/>
      </c>
      <c r="V783" s="6">
        <f>IF(AND(F783&lt;&gt;"",F783&gt;0,U783&lt;&gt;""),ROUND((U783-N(K783))/(F783/60),0),"")</f>
        <v/>
      </c>
      <c r="W783" s="6">
        <f>IF(U783&lt;&gt;"",ROUND(N(K783)/U783*100,1),"")</f>
        <v/>
      </c>
    </row>
    <row r="784">
      <c r="A784" s="3" t="n"/>
      <c r="B784" s="4" t="n"/>
      <c r="C784" s="4" t="n"/>
      <c r="D784" s="5" t="n"/>
      <c r="E784" s="5" t="n"/>
      <c r="F784" s="6">
        <f>IF(AND(D784&lt;&gt;"",E784&lt;&gt;""),ROUND((E784-D784)*1440,0),"")</f>
        <v/>
      </c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6">
        <f>IF(C784="착유장",기준값!$B$3,IF(C784="건유·육성우동",기준값!$B$2,""))</f>
        <v/>
      </c>
      <c r="V784" s="6">
        <f>IF(AND(F784&lt;&gt;"",F784&gt;0,U784&lt;&gt;""),ROUND((U784-N(K784))/(F784/60),0),"")</f>
        <v/>
      </c>
      <c r="W784" s="6">
        <f>IF(U784&lt;&gt;"",ROUND(N(K784)/U784*100,1),"")</f>
        <v/>
      </c>
    </row>
    <row r="785">
      <c r="A785" s="3" t="n"/>
      <c r="B785" s="4" t="n"/>
      <c r="C785" s="4" t="n"/>
      <c r="D785" s="5" t="n"/>
      <c r="E785" s="5" t="n"/>
      <c r="F785" s="6">
        <f>IF(AND(D785&lt;&gt;"",E785&lt;&gt;""),ROUND((E785-D785)*1440,0),"")</f>
        <v/>
      </c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6">
        <f>IF(C785="착유장",기준값!$B$3,IF(C785="건유·육성우동",기준값!$B$2,""))</f>
        <v/>
      </c>
      <c r="V785" s="6">
        <f>IF(AND(F785&lt;&gt;"",F785&gt;0,U785&lt;&gt;""),ROUND((U785-N(K785))/(F785/60),0),"")</f>
        <v/>
      </c>
      <c r="W785" s="6">
        <f>IF(U785&lt;&gt;"",ROUND(N(K785)/U785*100,1),"")</f>
        <v/>
      </c>
    </row>
    <row r="786">
      <c r="A786" s="3" t="n"/>
      <c r="B786" s="4" t="n"/>
      <c r="C786" s="4" t="n"/>
      <c r="D786" s="5" t="n"/>
      <c r="E786" s="5" t="n"/>
      <c r="F786" s="6">
        <f>IF(AND(D786&lt;&gt;"",E786&lt;&gt;""),ROUND((E786-D786)*1440,0),"")</f>
        <v/>
      </c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6">
        <f>IF(C786="착유장",기준값!$B$3,IF(C786="건유·육성우동",기준값!$B$2,""))</f>
        <v/>
      </c>
      <c r="V786" s="6">
        <f>IF(AND(F786&lt;&gt;"",F786&gt;0,U786&lt;&gt;""),ROUND((U786-N(K786))/(F786/60),0),"")</f>
        <v/>
      </c>
      <c r="W786" s="6">
        <f>IF(U786&lt;&gt;"",ROUND(N(K786)/U786*100,1),"")</f>
        <v/>
      </c>
    </row>
    <row r="787">
      <c r="A787" s="3" t="n"/>
      <c r="B787" s="4" t="n"/>
      <c r="C787" s="4" t="n"/>
      <c r="D787" s="5" t="n"/>
      <c r="E787" s="5" t="n"/>
      <c r="F787" s="6">
        <f>IF(AND(D787&lt;&gt;"",E787&lt;&gt;""),ROUND((E787-D787)*1440,0),"")</f>
        <v/>
      </c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6">
        <f>IF(C787="착유장",기준값!$B$3,IF(C787="건유·육성우동",기준값!$B$2,""))</f>
        <v/>
      </c>
      <c r="V787" s="6">
        <f>IF(AND(F787&lt;&gt;"",F787&gt;0,U787&lt;&gt;""),ROUND((U787-N(K787))/(F787/60),0),"")</f>
        <v/>
      </c>
      <c r="W787" s="6">
        <f>IF(U787&lt;&gt;"",ROUND(N(K787)/U787*100,1),"")</f>
        <v/>
      </c>
    </row>
    <row r="788">
      <c r="A788" s="3" t="n"/>
      <c r="B788" s="4" t="n"/>
      <c r="C788" s="4" t="n"/>
      <c r="D788" s="5" t="n"/>
      <c r="E788" s="5" t="n"/>
      <c r="F788" s="6">
        <f>IF(AND(D788&lt;&gt;"",E788&lt;&gt;""),ROUND((E788-D788)*1440,0),"")</f>
        <v/>
      </c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6">
        <f>IF(C788="착유장",기준값!$B$3,IF(C788="건유·육성우동",기준값!$B$2,""))</f>
        <v/>
      </c>
      <c r="V788" s="6">
        <f>IF(AND(F788&lt;&gt;"",F788&gt;0,U788&lt;&gt;""),ROUND((U788-N(K788))/(F788/60),0),"")</f>
        <v/>
      </c>
      <c r="W788" s="6">
        <f>IF(U788&lt;&gt;"",ROUND(N(K788)/U788*100,1),"")</f>
        <v/>
      </c>
    </row>
    <row r="789">
      <c r="A789" s="3" t="n"/>
      <c r="B789" s="4" t="n"/>
      <c r="C789" s="4" t="n"/>
      <c r="D789" s="5" t="n"/>
      <c r="E789" s="5" t="n"/>
      <c r="F789" s="6">
        <f>IF(AND(D789&lt;&gt;"",E789&lt;&gt;""),ROUND((E789-D789)*1440,0),"")</f>
        <v/>
      </c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6">
        <f>IF(C789="착유장",기준값!$B$3,IF(C789="건유·육성우동",기준값!$B$2,""))</f>
        <v/>
      </c>
      <c r="V789" s="6">
        <f>IF(AND(F789&lt;&gt;"",F789&gt;0,U789&lt;&gt;""),ROUND((U789-N(K789))/(F789/60),0),"")</f>
        <v/>
      </c>
      <c r="W789" s="6">
        <f>IF(U789&lt;&gt;"",ROUND(N(K789)/U789*100,1),"")</f>
        <v/>
      </c>
    </row>
    <row r="790">
      <c r="A790" s="3" t="n"/>
      <c r="B790" s="4" t="n"/>
      <c r="C790" s="4" t="n"/>
      <c r="D790" s="5" t="n"/>
      <c r="E790" s="5" t="n"/>
      <c r="F790" s="6">
        <f>IF(AND(D790&lt;&gt;"",E790&lt;&gt;""),ROUND((E790-D790)*1440,0),"")</f>
        <v/>
      </c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6">
        <f>IF(C790="착유장",기준값!$B$3,IF(C790="건유·육성우동",기준값!$B$2,""))</f>
        <v/>
      </c>
      <c r="V790" s="6">
        <f>IF(AND(F790&lt;&gt;"",F790&gt;0,U790&lt;&gt;""),ROUND((U790-N(K790))/(F790/60),0),"")</f>
        <v/>
      </c>
      <c r="W790" s="6">
        <f>IF(U790&lt;&gt;"",ROUND(N(K790)/U790*100,1),"")</f>
        <v/>
      </c>
    </row>
    <row r="791">
      <c r="A791" s="3" t="n"/>
      <c r="B791" s="4" t="n"/>
      <c r="C791" s="4" t="n"/>
      <c r="D791" s="5" t="n"/>
      <c r="E791" s="5" t="n"/>
      <c r="F791" s="6">
        <f>IF(AND(D791&lt;&gt;"",E791&lt;&gt;""),ROUND((E791-D791)*1440,0),"")</f>
        <v/>
      </c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6">
        <f>IF(C791="착유장",기준값!$B$3,IF(C791="건유·육성우동",기준값!$B$2,""))</f>
        <v/>
      </c>
      <c r="V791" s="6">
        <f>IF(AND(F791&lt;&gt;"",F791&gt;0,U791&lt;&gt;""),ROUND((U791-N(K791))/(F791/60),0),"")</f>
        <v/>
      </c>
      <c r="W791" s="6">
        <f>IF(U791&lt;&gt;"",ROUND(N(K791)/U791*100,1),"")</f>
        <v/>
      </c>
    </row>
    <row r="792">
      <c r="A792" s="3" t="n"/>
      <c r="B792" s="4" t="n"/>
      <c r="C792" s="4" t="n"/>
      <c r="D792" s="5" t="n"/>
      <c r="E792" s="5" t="n"/>
      <c r="F792" s="6">
        <f>IF(AND(D792&lt;&gt;"",E792&lt;&gt;""),ROUND((E792-D792)*1440,0),"")</f>
        <v/>
      </c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6">
        <f>IF(C792="착유장",기준값!$B$3,IF(C792="건유·육성우동",기준값!$B$2,""))</f>
        <v/>
      </c>
      <c r="V792" s="6">
        <f>IF(AND(F792&lt;&gt;"",F792&gt;0,U792&lt;&gt;""),ROUND((U792-N(K792))/(F792/60),0),"")</f>
        <v/>
      </c>
      <c r="W792" s="6">
        <f>IF(U792&lt;&gt;"",ROUND(N(K792)/U792*100,1),"")</f>
        <v/>
      </c>
    </row>
    <row r="793">
      <c r="A793" s="3" t="n"/>
      <c r="B793" s="4" t="n"/>
      <c r="C793" s="4" t="n"/>
      <c r="D793" s="5" t="n"/>
      <c r="E793" s="5" t="n"/>
      <c r="F793" s="6">
        <f>IF(AND(D793&lt;&gt;"",E793&lt;&gt;""),ROUND((E793-D793)*1440,0),"")</f>
        <v/>
      </c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6">
        <f>IF(C793="착유장",기준값!$B$3,IF(C793="건유·육성우동",기준값!$B$2,""))</f>
        <v/>
      </c>
      <c r="V793" s="6">
        <f>IF(AND(F793&lt;&gt;"",F793&gt;0,U793&lt;&gt;""),ROUND((U793-N(K793))/(F793/60),0),"")</f>
        <v/>
      </c>
      <c r="W793" s="6">
        <f>IF(U793&lt;&gt;"",ROUND(N(K793)/U793*100,1),"")</f>
        <v/>
      </c>
    </row>
    <row r="794">
      <c r="A794" s="3" t="n"/>
      <c r="B794" s="4" t="n"/>
      <c r="C794" s="4" t="n"/>
      <c r="D794" s="5" t="n"/>
      <c r="E794" s="5" t="n"/>
      <c r="F794" s="6">
        <f>IF(AND(D794&lt;&gt;"",E794&lt;&gt;""),ROUND((E794-D794)*1440,0),"")</f>
        <v/>
      </c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6">
        <f>IF(C794="착유장",기준값!$B$3,IF(C794="건유·육성우동",기준값!$B$2,""))</f>
        <v/>
      </c>
      <c r="V794" s="6">
        <f>IF(AND(F794&lt;&gt;"",F794&gt;0,U794&lt;&gt;""),ROUND((U794-N(K794))/(F794/60),0),"")</f>
        <v/>
      </c>
      <c r="W794" s="6">
        <f>IF(U794&lt;&gt;"",ROUND(N(K794)/U794*100,1),"")</f>
        <v/>
      </c>
    </row>
    <row r="795">
      <c r="A795" s="3" t="n"/>
      <c r="B795" s="4" t="n"/>
      <c r="C795" s="4" t="n"/>
      <c r="D795" s="5" t="n"/>
      <c r="E795" s="5" t="n"/>
      <c r="F795" s="6">
        <f>IF(AND(D795&lt;&gt;"",E795&lt;&gt;""),ROUND((E795-D795)*1440,0),"")</f>
        <v/>
      </c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6">
        <f>IF(C795="착유장",기준값!$B$3,IF(C795="건유·육성우동",기준값!$B$2,""))</f>
        <v/>
      </c>
      <c r="V795" s="6">
        <f>IF(AND(F795&lt;&gt;"",F795&gt;0,U795&lt;&gt;""),ROUND((U795-N(K795))/(F795/60),0),"")</f>
        <v/>
      </c>
      <c r="W795" s="6">
        <f>IF(U795&lt;&gt;"",ROUND(N(K795)/U795*100,1),"")</f>
        <v/>
      </c>
    </row>
    <row r="796">
      <c r="A796" s="3" t="n"/>
      <c r="B796" s="4" t="n"/>
      <c r="C796" s="4" t="n"/>
      <c r="D796" s="5" t="n"/>
      <c r="E796" s="5" t="n"/>
      <c r="F796" s="6">
        <f>IF(AND(D796&lt;&gt;"",E796&lt;&gt;""),ROUND((E796-D796)*1440,0),"")</f>
        <v/>
      </c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6">
        <f>IF(C796="착유장",기준값!$B$3,IF(C796="건유·육성우동",기준값!$B$2,""))</f>
        <v/>
      </c>
      <c r="V796" s="6">
        <f>IF(AND(F796&lt;&gt;"",F796&gt;0,U796&lt;&gt;""),ROUND((U796-N(K796))/(F796/60),0),"")</f>
        <v/>
      </c>
      <c r="W796" s="6">
        <f>IF(U796&lt;&gt;"",ROUND(N(K796)/U796*100,1),"")</f>
        <v/>
      </c>
    </row>
    <row r="797">
      <c r="A797" s="3" t="n"/>
      <c r="B797" s="4" t="n"/>
      <c r="C797" s="4" t="n"/>
      <c r="D797" s="5" t="n"/>
      <c r="E797" s="5" t="n"/>
      <c r="F797" s="6">
        <f>IF(AND(D797&lt;&gt;"",E797&lt;&gt;""),ROUND((E797-D797)*1440,0),"")</f>
        <v/>
      </c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6">
        <f>IF(C797="착유장",기준값!$B$3,IF(C797="건유·육성우동",기준값!$B$2,""))</f>
        <v/>
      </c>
      <c r="V797" s="6">
        <f>IF(AND(F797&lt;&gt;"",F797&gt;0,U797&lt;&gt;""),ROUND((U797-N(K797))/(F797/60),0),"")</f>
        <v/>
      </c>
      <c r="W797" s="6">
        <f>IF(U797&lt;&gt;"",ROUND(N(K797)/U797*100,1),"")</f>
        <v/>
      </c>
    </row>
    <row r="798">
      <c r="A798" s="3" t="n"/>
      <c r="B798" s="4" t="n"/>
      <c r="C798" s="4" t="n"/>
      <c r="D798" s="5" t="n"/>
      <c r="E798" s="5" t="n"/>
      <c r="F798" s="6">
        <f>IF(AND(D798&lt;&gt;"",E798&lt;&gt;""),ROUND((E798-D798)*1440,0),"")</f>
        <v/>
      </c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6">
        <f>IF(C798="착유장",기준값!$B$3,IF(C798="건유·육성우동",기준값!$B$2,""))</f>
        <v/>
      </c>
      <c r="V798" s="6">
        <f>IF(AND(F798&lt;&gt;"",F798&gt;0,U798&lt;&gt;""),ROUND((U798-N(K798))/(F798/60),0),"")</f>
        <v/>
      </c>
      <c r="W798" s="6">
        <f>IF(U798&lt;&gt;"",ROUND(N(K798)/U798*100,1),"")</f>
        <v/>
      </c>
    </row>
    <row r="799">
      <c r="A799" s="3" t="n"/>
      <c r="B799" s="4" t="n"/>
      <c r="C799" s="4" t="n"/>
      <c r="D799" s="5" t="n"/>
      <c r="E799" s="5" t="n"/>
      <c r="F799" s="6">
        <f>IF(AND(D799&lt;&gt;"",E799&lt;&gt;""),ROUND((E799-D799)*1440,0),"")</f>
        <v/>
      </c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6">
        <f>IF(C799="착유장",기준값!$B$3,IF(C799="건유·육성우동",기준값!$B$2,""))</f>
        <v/>
      </c>
      <c r="V799" s="6">
        <f>IF(AND(F799&lt;&gt;"",F799&gt;0,U799&lt;&gt;""),ROUND((U799-N(K799))/(F799/60),0),"")</f>
        <v/>
      </c>
      <c r="W799" s="6">
        <f>IF(U799&lt;&gt;"",ROUND(N(K799)/U799*100,1),"")</f>
        <v/>
      </c>
    </row>
    <row r="800">
      <c r="A800" s="3" t="n"/>
      <c r="B800" s="4" t="n"/>
      <c r="C800" s="4" t="n"/>
      <c r="D800" s="5" t="n"/>
      <c r="E800" s="5" t="n"/>
      <c r="F800" s="6">
        <f>IF(AND(D800&lt;&gt;"",E800&lt;&gt;""),ROUND((E800-D800)*1440,0),"")</f>
        <v/>
      </c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6">
        <f>IF(C800="착유장",기준값!$B$3,IF(C800="건유·육성우동",기준값!$B$2,""))</f>
        <v/>
      </c>
      <c r="V800" s="6">
        <f>IF(AND(F800&lt;&gt;"",F800&gt;0,U800&lt;&gt;""),ROUND((U800-N(K800))/(F800/60),0),"")</f>
        <v/>
      </c>
      <c r="W800" s="6">
        <f>IF(U800&lt;&gt;"",ROUND(N(K800)/U800*100,1),"")</f>
        <v/>
      </c>
    </row>
    <row r="801">
      <c r="A801" s="3" t="n"/>
      <c r="B801" s="4" t="n"/>
      <c r="C801" s="4" t="n"/>
      <c r="D801" s="5" t="n"/>
      <c r="E801" s="5" t="n"/>
      <c r="F801" s="6">
        <f>IF(AND(D801&lt;&gt;"",E801&lt;&gt;""),ROUND((E801-D801)*1440,0),"")</f>
        <v/>
      </c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6">
        <f>IF(C801="착유장",기준값!$B$3,IF(C801="건유·육성우동",기준값!$B$2,""))</f>
        <v/>
      </c>
      <c r="V801" s="6">
        <f>IF(AND(F801&lt;&gt;"",F801&gt;0,U801&lt;&gt;""),ROUND((U801-N(K801))/(F801/60),0),"")</f>
        <v/>
      </c>
      <c r="W801" s="6">
        <f>IF(U801&lt;&gt;"",ROUND(N(K801)/U801*100,1),"")</f>
        <v/>
      </c>
    </row>
    <row r="802">
      <c r="A802" s="3" t="n"/>
      <c r="B802" s="4" t="n"/>
      <c r="C802" s="4" t="n"/>
      <c r="D802" s="5" t="n"/>
      <c r="E802" s="5" t="n"/>
      <c r="F802" s="6">
        <f>IF(AND(D802&lt;&gt;"",E802&lt;&gt;""),ROUND((E802-D802)*1440,0),"")</f>
        <v/>
      </c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6">
        <f>IF(C802="착유장",기준값!$B$3,IF(C802="건유·육성우동",기준값!$B$2,""))</f>
        <v/>
      </c>
      <c r="V802" s="6">
        <f>IF(AND(F802&lt;&gt;"",F802&gt;0,U802&lt;&gt;""),ROUND((U802-N(K802))/(F802/60),0),"")</f>
        <v/>
      </c>
      <c r="W802" s="6">
        <f>IF(U802&lt;&gt;"",ROUND(N(K802)/U802*100,1),"")</f>
        <v/>
      </c>
    </row>
    <row r="803">
      <c r="A803" s="3" t="n"/>
      <c r="B803" s="4" t="n"/>
      <c r="C803" s="4" t="n"/>
      <c r="D803" s="5" t="n"/>
      <c r="E803" s="5" t="n"/>
      <c r="F803" s="6">
        <f>IF(AND(D803&lt;&gt;"",E803&lt;&gt;""),ROUND((E803-D803)*1440,0),"")</f>
        <v/>
      </c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6">
        <f>IF(C803="착유장",기준값!$B$3,IF(C803="건유·육성우동",기준값!$B$2,""))</f>
        <v/>
      </c>
      <c r="V803" s="6">
        <f>IF(AND(F803&lt;&gt;"",F803&gt;0,U803&lt;&gt;""),ROUND((U803-N(K803))/(F803/60),0),"")</f>
        <v/>
      </c>
      <c r="W803" s="6">
        <f>IF(U803&lt;&gt;"",ROUND(N(K803)/U803*100,1),"")</f>
        <v/>
      </c>
    </row>
    <row r="804">
      <c r="A804" s="3" t="n"/>
      <c r="B804" s="4" t="n"/>
      <c r="C804" s="4" t="n"/>
      <c r="D804" s="5" t="n"/>
      <c r="E804" s="5" t="n"/>
      <c r="F804" s="6">
        <f>IF(AND(D804&lt;&gt;"",E804&lt;&gt;""),ROUND((E804-D804)*1440,0),"")</f>
        <v/>
      </c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6">
        <f>IF(C804="착유장",기준값!$B$3,IF(C804="건유·육성우동",기준값!$B$2,""))</f>
        <v/>
      </c>
      <c r="V804" s="6">
        <f>IF(AND(F804&lt;&gt;"",F804&gt;0,U804&lt;&gt;""),ROUND((U804-N(K804))/(F804/60),0),"")</f>
        <v/>
      </c>
      <c r="W804" s="6">
        <f>IF(U804&lt;&gt;"",ROUND(N(K804)/U804*100,1),"")</f>
        <v/>
      </c>
    </row>
    <row r="805">
      <c r="A805" s="3" t="n"/>
      <c r="B805" s="4" t="n"/>
      <c r="C805" s="4" t="n"/>
      <c r="D805" s="5" t="n"/>
      <c r="E805" s="5" t="n"/>
      <c r="F805" s="6">
        <f>IF(AND(D805&lt;&gt;"",E805&lt;&gt;""),ROUND((E805-D805)*1440,0),"")</f>
        <v/>
      </c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6">
        <f>IF(C805="착유장",기준값!$B$3,IF(C805="건유·육성우동",기준값!$B$2,""))</f>
        <v/>
      </c>
      <c r="V805" s="6">
        <f>IF(AND(F805&lt;&gt;"",F805&gt;0,U805&lt;&gt;""),ROUND((U805-N(K805))/(F805/60),0),"")</f>
        <v/>
      </c>
      <c r="W805" s="6">
        <f>IF(U805&lt;&gt;"",ROUND(N(K805)/U805*100,1),"")</f>
        <v/>
      </c>
    </row>
    <row r="806">
      <c r="A806" s="3" t="n"/>
      <c r="B806" s="4" t="n"/>
      <c r="C806" s="4" t="n"/>
      <c r="D806" s="5" t="n"/>
      <c r="E806" s="5" t="n"/>
      <c r="F806" s="6">
        <f>IF(AND(D806&lt;&gt;"",E806&lt;&gt;""),ROUND((E806-D806)*1440,0),"")</f>
        <v/>
      </c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6">
        <f>IF(C806="착유장",기준값!$B$3,IF(C806="건유·육성우동",기준값!$B$2,""))</f>
        <v/>
      </c>
      <c r="V806" s="6">
        <f>IF(AND(F806&lt;&gt;"",F806&gt;0,U806&lt;&gt;""),ROUND((U806-N(K806))/(F806/60),0),"")</f>
        <v/>
      </c>
      <c r="W806" s="6">
        <f>IF(U806&lt;&gt;"",ROUND(N(K806)/U806*100,1),"")</f>
        <v/>
      </c>
    </row>
    <row r="807">
      <c r="A807" s="3" t="n"/>
      <c r="B807" s="4" t="n"/>
      <c r="C807" s="4" t="n"/>
      <c r="D807" s="5" t="n"/>
      <c r="E807" s="5" t="n"/>
      <c r="F807" s="6">
        <f>IF(AND(D807&lt;&gt;"",E807&lt;&gt;""),ROUND((E807-D807)*1440,0),"")</f>
        <v/>
      </c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6">
        <f>IF(C807="착유장",기준값!$B$3,IF(C807="건유·육성우동",기준값!$B$2,""))</f>
        <v/>
      </c>
      <c r="V807" s="6">
        <f>IF(AND(F807&lt;&gt;"",F807&gt;0,U807&lt;&gt;""),ROUND((U807-N(K807))/(F807/60),0),"")</f>
        <v/>
      </c>
      <c r="W807" s="6">
        <f>IF(U807&lt;&gt;"",ROUND(N(K807)/U807*100,1),"")</f>
        <v/>
      </c>
    </row>
    <row r="808">
      <c r="A808" s="3" t="n"/>
      <c r="B808" s="4" t="n"/>
      <c r="C808" s="4" t="n"/>
      <c r="D808" s="5" t="n"/>
      <c r="E808" s="5" t="n"/>
      <c r="F808" s="6">
        <f>IF(AND(D808&lt;&gt;"",E808&lt;&gt;""),ROUND((E808-D808)*1440,0),"")</f>
        <v/>
      </c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6">
        <f>IF(C808="착유장",기준값!$B$3,IF(C808="건유·육성우동",기준값!$B$2,""))</f>
        <v/>
      </c>
      <c r="V808" s="6">
        <f>IF(AND(F808&lt;&gt;"",F808&gt;0,U808&lt;&gt;""),ROUND((U808-N(K808))/(F808/60),0),"")</f>
        <v/>
      </c>
      <c r="W808" s="6">
        <f>IF(U808&lt;&gt;"",ROUND(N(K808)/U808*100,1),"")</f>
        <v/>
      </c>
    </row>
    <row r="809">
      <c r="A809" s="3" t="n"/>
      <c r="B809" s="4" t="n"/>
      <c r="C809" s="4" t="n"/>
      <c r="D809" s="5" t="n"/>
      <c r="E809" s="5" t="n"/>
      <c r="F809" s="6">
        <f>IF(AND(D809&lt;&gt;"",E809&lt;&gt;""),ROUND((E809-D809)*1440,0),"")</f>
        <v/>
      </c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6">
        <f>IF(C809="착유장",기준값!$B$3,IF(C809="건유·육성우동",기준값!$B$2,""))</f>
        <v/>
      </c>
      <c r="V809" s="6">
        <f>IF(AND(F809&lt;&gt;"",F809&gt;0,U809&lt;&gt;""),ROUND((U809-N(K809))/(F809/60),0),"")</f>
        <v/>
      </c>
      <c r="W809" s="6">
        <f>IF(U809&lt;&gt;"",ROUND(N(K809)/U809*100,1),"")</f>
        <v/>
      </c>
    </row>
    <row r="810">
      <c r="A810" s="3" t="n"/>
      <c r="B810" s="4" t="n"/>
      <c r="C810" s="4" t="n"/>
      <c r="D810" s="5" t="n"/>
      <c r="E810" s="5" t="n"/>
      <c r="F810" s="6">
        <f>IF(AND(D810&lt;&gt;"",E810&lt;&gt;""),ROUND((E810-D810)*1440,0),"")</f>
        <v/>
      </c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6">
        <f>IF(C810="착유장",기준값!$B$3,IF(C810="건유·육성우동",기준값!$B$2,""))</f>
        <v/>
      </c>
      <c r="V810" s="6">
        <f>IF(AND(F810&lt;&gt;"",F810&gt;0,U810&lt;&gt;""),ROUND((U810-N(K810))/(F810/60),0),"")</f>
        <v/>
      </c>
      <c r="W810" s="6">
        <f>IF(U810&lt;&gt;"",ROUND(N(K810)/U810*100,1),"")</f>
        <v/>
      </c>
    </row>
    <row r="811">
      <c r="A811" s="3" t="n"/>
      <c r="B811" s="4" t="n"/>
      <c r="C811" s="4" t="n"/>
      <c r="D811" s="5" t="n"/>
      <c r="E811" s="5" t="n"/>
      <c r="F811" s="6">
        <f>IF(AND(D811&lt;&gt;"",E811&lt;&gt;""),ROUND((E811-D811)*1440,0),"")</f>
        <v/>
      </c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6">
        <f>IF(C811="착유장",기준값!$B$3,IF(C811="건유·육성우동",기준값!$B$2,""))</f>
        <v/>
      </c>
      <c r="V811" s="6">
        <f>IF(AND(F811&lt;&gt;"",F811&gt;0,U811&lt;&gt;""),ROUND((U811-N(K811))/(F811/60),0),"")</f>
        <v/>
      </c>
      <c r="W811" s="6">
        <f>IF(U811&lt;&gt;"",ROUND(N(K811)/U811*100,1),"")</f>
        <v/>
      </c>
    </row>
    <row r="812">
      <c r="A812" s="3" t="n"/>
      <c r="B812" s="4" t="n"/>
      <c r="C812" s="4" t="n"/>
      <c r="D812" s="5" t="n"/>
      <c r="E812" s="5" t="n"/>
      <c r="F812" s="6">
        <f>IF(AND(D812&lt;&gt;"",E812&lt;&gt;""),ROUND((E812-D812)*1440,0),"")</f>
        <v/>
      </c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6">
        <f>IF(C812="착유장",기준값!$B$3,IF(C812="건유·육성우동",기준값!$B$2,""))</f>
        <v/>
      </c>
      <c r="V812" s="6">
        <f>IF(AND(F812&lt;&gt;"",F812&gt;0,U812&lt;&gt;""),ROUND((U812-N(K812))/(F812/60),0),"")</f>
        <v/>
      </c>
      <c r="W812" s="6">
        <f>IF(U812&lt;&gt;"",ROUND(N(K812)/U812*100,1),"")</f>
        <v/>
      </c>
    </row>
    <row r="813">
      <c r="A813" s="3" t="n"/>
      <c r="B813" s="4" t="n"/>
      <c r="C813" s="4" t="n"/>
      <c r="D813" s="5" t="n"/>
      <c r="E813" s="5" t="n"/>
      <c r="F813" s="6">
        <f>IF(AND(D813&lt;&gt;"",E813&lt;&gt;""),ROUND((E813-D813)*1440,0),"")</f>
        <v/>
      </c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6">
        <f>IF(C813="착유장",기준값!$B$3,IF(C813="건유·육성우동",기준값!$B$2,""))</f>
        <v/>
      </c>
      <c r="V813" s="6">
        <f>IF(AND(F813&lt;&gt;"",F813&gt;0,U813&lt;&gt;""),ROUND((U813-N(K813))/(F813/60),0),"")</f>
        <v/>
      </c>
      <c r="W813" s="6">
        <f>IF(U813&lt;&gt;"",ROUND(N(K813)/U813*100,1),"")</f>
        <v/>
      </c>
    </row>
    <row r="814">
      <c r="A814" s="3" t="n"/>
      <c r="B814" s="4" t="n"/>
      <c r="C814" s="4" t="n"/>
      <c r="D814" s="5" t="n"/>
      <c r="E814" s="5" t="n"/>
      <c r="F814" s="6">
        <f>IF(AND(D814&lt;&gt;"",E814&lt;&gt;""),ROUND((E814-D814)*1440,0),"")</f>
        <v/>
      </c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6">
        <f>IF(C814="착유장",기준값!$B$3,IF(C814="건유·육성우동",기준값!$B$2,""))</f>
        <v/>
      </c>
      <c r="V814" s="6">
        <f>IF(AND(F814&lt;&gt;"",F814&gt;0,U814&lt;&gt;""),ROUND((U814-N(K814))/(F814/60),0),"")</f>
        <v/>
      </c>
      <c r="W814" s="6">
        <f>IF(U814&lt;&gt;"",ROUND(N(K814)/U814*100,1),"")</f>
        <v/>
      </c>
    </row>
    <row r="815">
      <c r="A815" s="3" t="n"/>
      <c r="B815" s="4" t="n"/>
      <c r="C815" s="4" t="n"/>
      <c r="D815" s="5" t="n"/>
      <c r="E815" s="5" t="n"/>
      <c r="F815" s="6">
        <f>IF(AND(D815&lt;&gt;"",E815&lt;&gt;""),ROUND((E815-D815)*1440,0),"")</f>
        <v/>
      </c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6">
        <f>IF(C815="착유장",기준값!$B$3,IF(C815="건유·육성우동",기준값!$B$2,""))</f>
        <v/>
      </c>
      <c r="V815" s="6">
        <f>IF(AND(F815&lt;&gt;"",F815&gt;0,U815&lt;&gt;""),ROUND((U815-N(K815))/(F815/60),0),"")</f>
        <v/>
      </c>
      <c r="W815" s="6">
        <f>IF(U815&lt;&gt;"",ROUND(N(K815)/U815*100,1),"")</f>
        <v/>
      </c>
    </row>
    <row r="816">
      <c r="A816" s="3" t="n"/>
      <c r="B816" s="4" t="n"/>
      <c r="C816" s="4" t="n"/>
      <c r="D816" s="5" t="n"/>
      <c r="E816" s="5" t="n"/>
      <c r="F816" s="6">
        <f>IF(AND(D816&lt;&gt;"",E816&lt;&gt;""),ROUND((E816-D816)*1440,0),"")</f>
        <v/>
      </c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6">
        <f>IF(C816="착유장",기준값!$B$3,IF(C816="건유·육성우동",기준값!$B$2,""))</f>
        <v/>
      </c>
      <c r="V816" s="6">
        <f>IF(AND(F816&lt;&gt;"",F816&gt;0,U816&lt;&gt;""),ROUND((U816-N(K816))/(F816/60),0),"")</f>
        <v/>
      </c>
      <c r="W816" s="6">
        <f>IF(U816&lt;&gt;"",ROUND(N(K816)/U816*100,1),"")</f>
        <v/>
      </c>
    </row>
    <row r="817">
      <c r="A817" s="3" t="n"/>
      <c r="B817" s="4" t="n"/>
      <c r="C817" s="4" t="n"/>
      <c r="D817" s="5" t="n"/>
      <c r="E817" s="5" t="n"/>
      <c r="F817" s="6">
        <f>IF(AND(D817&lt;&gt;"",E817&lt;&gt;""),ROUND((E817-D817)*1440,0),"")</f>
        <v/>
      </c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6">
        <f>IF(C817="착유장",기준값!$B$3,IF(C817="건유·육성우동",기준값!$B$2,""))</f>
        <v/>
      </c>
      <c r="V817" s="6">
        <f>IF(AND(F817&lt;&gt;"",F817&gt;0,U817&lt;&gt;""),ROUND((U817-N(K817))/(F817/60),0),"")</f>
        <v/>
      </c>
      <c r="W817" s="6">
        <f>IF(U817&lt;&gt;"",ROUND(N(K817)/U817*100,1),"")</f>
        <v/>
      </c>
    </row>
    <row r="818">
      <c r="A818" s="3" t="n"/>
      <c r="B818" s="4" t="n"/>
      <c r="C818" s="4" t="n"/>
      <c r="D818" s="5" t="n"/>
      <c r="E818" s="5" t="n"/>
      <c r="F818" s="6">
        <f>IF(AND(D818&lt;&gt;"",E818&lt;&gt;""),ROUND((E818-D818)*1440,0),"")</f>
        <v/>
      </c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6">
        <f>IF(C818="착유장",기준값!$B$3,IF(C818="건유·육성우동",기준값!$B$2,""))</f>
        <v/>
      </c>
      <c r="V818" s="6">
        <f>IF(AND(F818&lt;&gt;"",F818&gt;0,U818&lt;&gt;""),ROUND((U818-N(K818))/(F818/60),0),"")</f>
        <v/>
      </c>
      <c r="W818" s="6">
        <f>IF(U818&lt;&gt;"",ROUND(N(K818)/U818*100,1),"")</f>
        <v/>
      </c>
    </row>
    <row r="819">
      <c r="A819" s="3" t="n"/>
      <c r="B819" s="4" t="n"/>
      <c r="C819" s="4" t="n"/>
      <c r="D819" s="5" t="n"/>
      <c r="E819" s="5" t="n"/>
      <c r="F819" s="6">
        <f>IF(AND(D819&lt;&gt;"",E819&lt;&gt;""),ROUND((E819-D819)*1440,0),"")</f>
        <v/>
      </c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6">
        <f>IF(C819="착유장",기준값!$B$3,IF(C819="건유·육성우동",기준값!$B$2,""))</f>
        <v/>
      </c>
      <c r="V819" s="6">
        <f>IF(AND(F819&lt;&gt;"",F819&gt;0,U819&lt;&gt;""),ROUND((U819-N(K819))/(F819/60),0),"")</f>
        <v/>
      </c>
      <c r="W819" s="6">
        <f>IF(U819&lt;&gt;"",ROUND(N(K819)/U819*100,1),"")</f>
        <v/>
      </c>
    </row>
    <row r="820">
      <c r="A820" s="3" t="n"/>
      <c r="B820" s="4" t="n"/>
      <c r="C820" s="4" t="n"/>
      <c r="D820" s="5" t="n"/>
      <c r="E820" s="5" t="n"/>
      <c r="F820" s="6">
        <f>IF(AND(D820&lt;&gt;"",E820&lt;&gt;""),ROUND((E820-D820)*1440,0),"")</f>
        <v/>
      </c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6">
        <f>IF(C820="착유장",기준값!$B$3,IF(C820="건유·육성우동",기준값!$B$2,""))</f>
        <v/>
      </c>
      <c r="V820" s="6">
        <f>IF(AND(F820&lt;&gt;"",F820&gt;0,U820&lt;&gt;""),ROUND((U820-N(K820))/(F820/60),0),"")</f>
        <v/>
      </c>
      <c r="W820" s="6">
        <f>IF(U820&lt;&gt;"",ROUND(N(K820)/U820*100,1),"")</f>
        <v/>
      </c>
    </row>
    <row r="821">
      <c r="A821" s="3" t="n"/>
      <c r="B821" s="4" t="n"/>
      <c r="C821" s="4" t="n"/>
      <c r="D821" s="5" t="n"/>
      <c r="E821" s="5" t="n"/>
      <c r="F821" s="6">
        <f>IF(AND(D821&lt;&gt;"",E821&lt;&gt;""),ROUND((E821-D821)*1440,0),"")</f>
        <v/>
      </c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6">
        <f>IF(C821="착유장",기준값!$B$3,IF(C821="건유·육성우동",기준값!$B$2,""))</f>
        <v/>
      </c>
      <c r="V821" s="6">
        <f>IF(AND(F821&lt;&gt;"",F821&gt;0,U821&lt;&gt;""),ROUND((U821-N(K821))/(F821/60),0),"")</f>
        <v/>
      </c>
      <c r="W821" s="6">
        <f>IF(U821&lt;&gt;"",ROUND(N(K821)/U821*100,1),"")</f>
        <v/>
      </c>
    </row>
    <row r="822">
      <c r="A822" s="3" t="n"/>
      <c r="B822" s="4" t="n"/>
      <c r="C822" s="4" t="n"/>
      <c r="D822" s="5" t="n"/>
      <c r="E822" s="5" t="n"/>
      <c r="F822" s="6">
        <f>IF(AND(D822&lt;&gt;"",E822&lt;&gt;""),ROUND((E822-D822)*1440,0),"")</f>
        <v/>
      </c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6">
        <f>IF(C822="착유장",기준값!$B$3,IF(C822="건유·육성우동",기준값!$B$2,""))</f>
        <v/>
      </c>
      <c r="V822" s="6">
        <f>IF(AND(F822&lt;&gt;"",F822&gt;0,U822&lt;&gt;""),ROUND((U822-N(K822))/(F822/60),0),"")</f>
        <v/>
      </c>
      <c r="W822" s="6">
        <f>IF(U822&lt;&gt;"",ROUND(N(K822)/U822*100,1),"")</f>
        <v/>
      </c>
    </row>
    <row r="823">
      <c r="A823" s="3" t="n"/>
      <c r="B823" s="4" t="n"/>
      <c r="C823" s="4" t="n"/>
      <c r="D823" s="5" t="n"/>
      <c r="E823" s="5" t="n"/>
      <c r="F823" s="6">
        <f>IF(AND(D823&lt;&gt;"",E823&lt;&gt;""),ROUND((E823-D823)*1440,0),"")</f>
        <v/>
      </c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6">
        <f>IF(C823="착유장",기준값!$B$3,IF(C823="건유·육성우동",기준값!$B$2,""))</f>
        <v/>
      </c>
      <c r="V823" s="6">
        <f>IF(AND(F823&lt;&gt;"",F823&gt;0,U823&lt;&gt;""),ROUND((U823-N(K823))/(F823/60),0),"")</f>
        <v/>
      </c>
      <c r="W823" s="6">
        <f>IF(U823&lt;&gt;"",ROUND(N(K823)/U823*100,1),"")</f>
        <v/>
      </c>
    </row>
    <row r="824">
      <c r="A824" s="3" t="n"/>
      <c r="B824" s="4" t="n"/>
      <c r="C824" s="4" t="n"/>
      <c r="D824" s="5" t="n"/>
      <c r="E824" s="5" t="n"/>
      <c r="F824" s="6">
        <f>IF(AND(D824&lt;&gt;"",E824&lt;&gt;""),ROUND((E824-D824)*1440,0),"")</f>
        <v/>
      </c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6">
        <f>IF(C824="착유장",기준값!$B$3,IF(C824="건유·육성우동",기준값!$B$2,""))</f>
        <v/>
      </c>
      <c r="V824" s="6">
        <f>IF(AND(F824&lt;&gt;"",F824&gt;0,U824&lt;&gt;""),ROUND((U824-N(K824))/(F824/60),0),"")</f>
        <v/>
      </c>
      <c r="W824" s="6">
        <f>IF(U824&lt;&gt;"",ROUND(N(K824)/U824*100,1),"")</f>
        <v/>
      </c>
    </row>
    <row r="825">
      <c r="A825" s="3" t="n"/>
      <c r="B825" s="4" t="n"/>
      <c r="C825" s="4" t="n"/>
      <c r="D825" s="5" t="n"/>
      <c r="E825" s="5" t="n"/>
      <c r="F825" s="6">
        <f>IF(AND(D825&lt;&gt;"",E825&lt;&gt;""),ROUND((E825-D825)*1440,0),"")</f>
        <v/>
      </c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6">
        <f>IF(C825="착유장",기준값!$B$3,IF(C825="건유·육성우동",기준값!$B$2,""))</f>
        <v/>
      </c>
      <c r="V825" s="6">
        <f>IF(AND(F825&lt;&gt;"",F825&gt;0,U825&lt;&gt;""),ROUND((U825-N(K825))/(F825/60),0),"")</f>
        <v/>
      </c>
      <c r="W825" s="6">
        <f>IF(U825&lt;&gt;"",ROUND(N(K825)/U825*100,1),"")</f>
        <v/>
      </c>
    </row>
    <row r="826">
      <c r="A826" s="3" t="n"/>
      <c r="B826" s="4" t="n"/>
      <c r="C826" s="4" t="n"/>
      <c r="D826" s="5" t="n"/>
      <c r="E826" s="5" t="n"/>
      <c r="F826" s="6">
        <f>IF(AND(D826&lt;&gt;"",E826&lt;&gt;""),ROUND((E826-D826)*1440,0),"")</f>
        <v/>
      </c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6">
        <f>IF(C826="착유장",기준값!$B$3,IF(C826="건유·육성우동",기준값!$B$2,""))</f>
        <v/>
      </c>
      <c r="V826" s="6">
        <f>IF(AND(F826&lt;&gt;"",F826&gt;0,U826&lt;&gt;""),ROUND((U826-N(K826))/(F826/60),0),"")</f>
        <v/>
      </c>
      <c r="W826" s="6">
        <f>IF(U826&lt;&gt;"",ROUND(N(K826)/U826*100,1),"")</f>
        <v/>
      </c>
    </row>
    <row r="827">
      <c r="A827" s="3" t="n"/>
      <c r="B827" s="4" t="n"/>
      <c r="C827" s="4" t="n"/>
      <c r="D827" s="5" t="n"/>
      <c r="E827" s="5" t="n"/>
      <c r="F827" s="6">
        <f>IF(AND(D827&lt;&gt;"",E827&lt;&gt;""),ROUND((E827-D827)*1440,0),"")</f>
        <v/>
      </c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6">
        <f>IF(C827="착유장",기준값!$B$3,IF(C827="건유·육성우동",기준값!$B$2,""))</f>
        <v/>
      </c>
      <c r="V827" s="6">
        <f>IF(AND(F827&lt;&gt;"",F827&gt;0,U827&lt;&gt;""),ROUND((U827-N(K827))/(F827/60),0),"")</f>
        <v/>
      </c>
      <c r="W827" s="6">
        <f>IF(U827&lt;&gt;"",ROUND(N(K827)/U827*100,1),"")</f>
        <v/>
      </c>
    </row>
    <row r="828">
      <c r="A828" s="3" t="n"/>
      <c r="B828" s="4" t="n"/>
      <c r="C828" s="4" t="n"/>
      <c r="D828" s="5" t="n"/>
      <c r="E828" s="5" t="n"/>
      <c r="F828" s="6">
        <f>IF(AND(D828&lt;&gt;"",E828&lt;&gt;""),ROUND((E828-D828)*1440,0),"")</f>
        <v/>
      </c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6">
        <f>IF(C828="착유장",기준값!$B$3,IF(C828="건유·육성우동",기준값!$B$2,""))</f>
        <v/>
      </c>
      <c r="V828" s="6">
        <f>IF(AND(F828&lt;&gt;"",F828&gt;0,U828&lt;&gt;""),ROUND((U828-N(K828))/(F828/60),0),"")</f>
        <v/>
      </c>
      <c r="W828" s="6">
        <f>IF(U828&lt;&gt;"",ROUND(N(K828)/U828*100,1),"")</f>
        <v/>
      </c>
    </row>
    <row r="829">
      <c r="A829" s="3" t="n"/>
      <c r="B829" s="4" t="n"/>
      <c r="C829" s="4" t="n"/>
      <c r="D829" s="5" t="n"/>
      <c r="E829" s="5" t="n"/>
      <c r="F829" s="6">
        <f>IF(AND(D829&lt;&gt;"",E829&lt;&gt;""),ROUND((E829-D829)*1440,0),"")</f>
        <v/>
      </c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6">
        <f>IF(C829="착유장",기준값!$B$3,IF(C829="건유·육성우동",기준값!$B$2,""))</f>
        <v/>
      </c>
      <c r="V829" s="6">
        <f>IF(AND(F829&lt;&gt;"",F829&gt;0,U829&lt;&gt;""),ROUND((U829-N(K829))/(F829/60),0),"")</f>
        <v/>
      </c>
      <c r="W829" s="6">
        <f>IF(U829&lt;&gt;"",ROUND(N(K829)/U829*100,1),"")</f>
        <v/>
      </c>
    </row>
    <row r="830">
      <c r="A830" s="3" t="n"/>
      <c r="B830" s="4" t="n"/>
      <c r="C830" s="4" t="n"/>
      <c r="D830" s="5" t="n"/>
      <c r="E830" s="5" t="n"/>
      <c r="F830" s="6">
        <f>IF(AND(D830&lt;&gt;"",E830&lt;&gt;""),ROUND((E830-D830)*1440,0),"")</f>
        <v/>
      </c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6">
        <f>IF(C830="착유장",기준값!$B$3,IF(C830="건유·육성우동",기준값!$B$2,""))</f>
        <v/>
      </c>
      <c r="V830" s="6">
        <f>IF(AND(F830&lt;&gt;"",F830&gt;0,U830&lt;&gt;""),ROUND((U830-N(K830))/(F830/60),0),"")</f>
        <v/>
      </c>
      <c r="W830" s="6">
        <f>IF(U830&lt;&gt;"",ROUND(N(K830)/U830*100,1),"")</f>
        <v/>
      </c>
    </row>
    <row r="831">
      <c r="A831" s="3" t="n"/>
      <c r="B831" s="4" t="n"/>
      <c r="C831" s="4" t="n"/>
      <c r="D831" s="5" t="n"/>
      <c r="E831" s="5" t="n"/>
      <c r="F831" s="6">
        <f>IF(AND(D831&lt;&gt;"",E831&lt;&gt;""),ROUND((E831-D831)*1440,0),"")</f>
        <v/>
      </c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6">
        <f>IF(C831="착유장",기준값!$B$3,IF(C831="건유·육성우동",기준값!$B$2,""))</f>
        <v/>
      </c>
      <c r="V831" s="6">
        <f>IF(AND(F831&lt;&gt;"",F831&gt;0,U831&lt;&gt;""),ROUND((U831-N(K831))/(F831/60),0),"")</f>
        <v/>
      </c>
      <c r="W831" s="6">
        <f>IF(U831&lt;&gt;"",ROUND(N(K831)/U831*100,1),"")</f>
        <v/>
      </c>
    </row>
    <row r="832">
      <c r="A832" s="3" t="n"/>
      <c r="B832" s="4" t="n"/>
      <c r="C832" s="4" t="n"/>
      <c r="D832" s="5" t="n"/>
      <c r="E832" s="5" t="n"/>
      <c r="F832" s="6">
        <f>IF(AND(D832&lt;&gt;"",E832&lt;&gt;""),ROUND((E832-D832)*1440,0),"")</f>
        <v/>
      </c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6">
        <f>IF(C832="착유장",기준값!$B$3,IF(C832="건유·육성우동",기준값!$B$2,""))</f>
        <v/>
      </c>
      <c r="V832" s="6">
        <f>IF(AND(F832&lt;&gt;"",F832&gt;0,U832&lt;&gt;""),ROUND((U832-N(K832))/(F832/60),0),"")</f>
        <v/>
      </c>
      <c r="W832" s="6">
        <f>IF(U832&lt;&gt;"",ROUND(N(K832)/U832*100,1),"")</f>
        <v/>
      </c>
    </row>
    <row r="833">
      <c r="A833" s="3" t="n"/>
      <c r="B833" s="4" t="n"/>
      <c r="C833" s="4" t="n"/>
      <c r="D833" s="5" t="n"/>
      <c r="E833" s="5" t="n"/>
      <c r="F833" s="6">
        <f>IF(AND(D833&lt;&gt;"",E833&lt;&gt;""),ROUND((E833-D833)*1440,0),"")</f>
        <v/>
      </c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6">
        <f>IF(C833="착유장",기준값!$B$3,IF(C833="건유·육성우동",기준값!$B$2,""))</f>
        <v/>
      </c>
      <c r="V833" s="6">
        <f>IF(AND(F833&lt;&gt;"",F833&gt;0,U833&lt;&gt;""),ROUND((U833-N(K833))/(F833/60),0),"")</f>
        <v/>
      </c>
      <c r="W833" s="6">
        <f>IF(U833&lt;&gt;"",ROUND(N(K833)/U833*100,1),"")</f>
        <v/>
      </c>
    </row>
    <row r="834">
      <c r="A834" s="3" t="n"/>
      <c r="B834" s="4" t="n"/>
      <c r="C834" s="4" t="n"/>
      <c r="D834" s="5" t="n"/>
      <c r="E834" s="5" t="n"/>
      <c r="F834" s="6">
        <f>IF(AND(D834&lt;&gt;"",E834&lt;&gt;""),ROUND((E834-D834)*1440,0),"")</f>
        <v/>
      </c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6">
        <f>IF(C834="착유장",기준값!$B$3,IF(C834="건유·육성우동",기준값!$B$2,""))</f>
        <v/>
      </c>
      <c r="V834" s="6">
        <f>IF(AND(F834&lt;&gt;"",F834&gt;0,U834&lt;&gt;""),ROUND((U834-N(K834))/(F834/60),0),"")</f>
        <v/>
      </c>
      <c r="W834" s="6">
        <f>IF(U834&lt;&gt;"",ROUND(N(K834)/U834*100,1),"")</f>
        <v/>
      </c>
    </row>
    <row r="835">
      <c r="A835" s="3" t="n"/>
      <c r="B835" s="4" t="n"/>
      <c r="C835" s="4" t="n"/>
      <c r="D835" s="5" t="n"/>
      <c r="E835" s="5" t="n"/>
      <c r="F835" s="6">
        <f>IF(AND(D835&lt;&gt;"",E835&lt;&gt;""),ROUND((E835-D835)*1440,0),"")</f>
        <v/>
      </c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6">
        <f>IF(C835="착유장",기준값!$B$3,IF(C835="건유·육성우동",기준값!$B$2,""))</f>
        <v/>
      </c>
      <c r="V835" s="6">
        <f>IF(AND(F835&lt;&gt;"",F835&gt;0,U835&lt;&gt;""),ROUND((U835-N(K835))/(F835/60),0),"")</f>
        <v/>
      </c>
      <c r="W835" s="6">
        <f>IF(U835&lt;&gt;"",ROUND(N(K835)/U835*100,1),"")</f>
        <v/>
      </c>
    </row>
    <row r="836">
      <c r="A836" s="3" t="n"/>
      <c r="B836" s="4" t="n"/>
      <c r="C836" s="4" t="n"/>
      <c r="D836" s="5" t="n"/>
      <c r="E836" s="5" t="n"/>
      <c r="F836" s="6">
        <f>IF(AND(D836&lt;&gt;"",E836&lt;&gt;""),ROUND((E836-D836)*1440,0),"")</f>
        <v/>
      </c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6">
        <f>IF(C836="착유장",기준값!$B$3,IF(C836="건유·육성우동",기준값!$B$2,""))</f>
        <v/>
      </c>
      <c r="V836" s="6">
        <f>IF(AND(F836&lt;&gt;"",F836&gt;0,U836&lt;&gt;""),ROUND((U836-N(K836))/(F836/60),0),"")</f>
        <v/>
      </c>
      <c r="W836" s="6">
        <f>IF(U836&lt;&gt;"",ROUND(N(K836)/U836*100,1),"")</f>
        <v/>
      </c>
    </row>
    <row r="837">
      <c r="A837" s="3" t="n"/>
      <c r="B837" s="4" t="n"/>
      <c r="C837" s="4" t="n"/>
      <c r="D837" s="5" t="n"/>
      <c r="E837" s="5" t="n"/>
      <c r="F837" s="6">
        <f>IF(AND(D837&lt;&gt;"",E837&lt;&gt;""),ROUND((E837-D837)*1440,0),"")</f>
        <v/>
      </c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6">
        <f>IF(C837="착유장",기준값!$B$3,IF(C837="건유·육성우동",기준값!$B$2,""))</f>
        <v/>
      </c>
      <c r="V837" s="6">
        <f>IF(AND(F837&lt;&gt;"",F837&gt;0,U837&lt;&gt;""),ROUND((U837-N(K837))/(F837/60),0),"")</f>
        <v/>
      </c>
      <c r="W837" s="6">
        <f>IF(U837&lt;&gt;"",ROUND(N(K837)/U837*100,1),"")</f>
        <v/>
      </c>
    </row>
    <row r="838">
      <c r="A838" s="3" t="n"/>
      <c r="B838" s="4" t="n"/>
      <c r="C838" s="4" t="n"/>
      <c r="D838" s="5" t="n"/>
      <c r="E838" s="5" t="n"/>
      <c r="F838" s="6">
        <f>IF(AND(D838&lt;&gt;"",E838&lt;&gt;""),ROUND((E838-D838)*1440,0),"")</f>
        <v/>
      </c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6">
        <f>IF(C838="착유장",기준값!$B$3,IF(C838="건유·육성우동",기준값!$B$2,""))</f>
        <v/>
      </c>
      <c r="V838" s="6">
        <f>IF(AND(F838&lt;&gt;"",F838&gt;0,U838&lt;&gt;""),ROUND((U838-N(K838))/(F838/60),0),"")</f>
        <v/>
      </c>
      <c r="W838" s="6">
        <f>IF(U838&lt;&gt;"",ROUND(N(K838)/U838*100,1),"")</f>
        <v/>
      </c>
    </row>
    <row r="839">
      <c r="A839" s="3" t="n"/>
      <c r="B839" s="4" t="n"/>
      <c r="C839" s="4" t="n"/>
      <c r="D839" s="5" t="n"/>
      <c r="E839" s="5" t="n"/>
      <c r="F839" s="6">
        <f>IF(AND(D839&lt;&gt;"",E839&lt;&gt;""),ROUND((E839-D839)*1440,0),"")</f>
        <v/>
      </c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6">
        <f>IF(C839="착유장",기준값!$B$3,IF(C839="건유·육성우동",기준값!$B$2,""))</f>
        <v/>
      </c>
      <c r="V839" s="6">
        <f>IF(AND(F839&lt;&gt;"",F839&gt;0,U839&lt;&gt;""),ROUND((U839-N(K839))/(F839/60),0),"")</f>
        <v/>
      </c>
      <c r="W839" s="6">
        <f>IF(U839&lt;&gt;"",ROUND(N(K839)/U839*100,1),"")</f>
        <v/>
      </c>
    </row>
    <row r="840">
      <c r="A840" s="3" t="n"/>
      <c r="B840" s="4" t="n"/>
      <c r="C840" s="4" t="n"/>
      <c r="D840" s="5" t="n"/>
      <c r="E840" s="5" t="n"/>
      <c r="F840" s="6">
        <f>IF(AND(D840&lt;&gt;"",E840&lt;&gt;""),ROUND((E840-D840)*1440,0),"")</f>
        <v/>
      </c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6">
        <f>IF(C840="착유장",기준값!$B$3,IF(C840="건유·육성우동",기준값!$B$2,""))</f>
        <v/>
      </c>
      <c r="V840" s="6">
        <f>IF(AND(F840&lt;&gt;"",F840&gt;0,U840&lt;&gt;""),ROUND((U840-N(K840))/(F840/60),0),"")</f>
        <v/>
      </c>
      <c r="W840" s="6">
        <f>IF(U840&lt;&gt;"",ROUND(N(K840)/U840*100,1),"")</f>
        <v/>
      </c>
    </row>
    <row r="841">
      <c r="A841" s="3" t="n"/>
      <c r="B841" s="4" t="n"/>
      <c r="C841" s="4" t="n"/>
      <c r="D841" s="5" t="n"/>
      <c r="E841" s="5" t="n"/>
      <c r="F841" s="6">
        <f>IF(AND(D841&lt;&gt;"",E841&lt;&gt;""),ROUND((E841-D841)*1440,0),"")</f>
        <v/>
      </c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6">
        <f>IF(C841="착유장",기준값!$B$3,IF(C841="건유·육성우동",기준값!$B$2,""))</f>
        <v/>
      </c>
      <c r="V841" s="6">
        <f>IF(AND(F841&lt;&gt;"",F841&gt;0,U841&lt;&gt;""),ROUND((U841-N(K841))/(F841/60),0),"")</f>
        <v/>
      </c>
      <c r="W841" s="6">
        <f>IF(U841&lt;&gt;"",ROUND(N(K841)/U841*100,1),"")</f>
        <v/>
      </c>
    </row>
    <row r="842">
      <c r="A842" s="3" t="n"/>
      <c r="B842" s="4" t="n"/>
      <c r="C842" s="4" t="n"/>
      <c r="D842" s="5" t="n"/>
      <c r="E842" s="5" t="n"/>
      <c r="F842" s="6">
        <f>IF(AND(D842&lt;&gt;"",E842&lt;&gt;""),ROUND((E842-D842)*1440,0),"")</f>
        <v/>
      </c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6">
        <f>IF(C842="착유장",기준값!$B$3,IF(C842="건유·육성우동",기준값!$B$2,""))</f>
        <v/>
      </c>
      <c r="V842" s="6">
        <f>IF(AND(F842&lt;&gt;"",F842&gt;0,U842&lt;&gt;""),ROUND((U842-N(K842))/(F842/60),0),"")</f>
        <v/>
      </c>
      <c r="W842" s="6">
        <f>IF(U842&lt;&gt;"",ROUND(N(K842)/U842*100,1),"")</f>
        <v/>
      </c>
    </row>
    <row r="843">
      <c r="A843" s="3" t="n"/>
      <c r="B843" s="4" t="n"/>
      <c r="C843" s="4" t="n"/>
      <c r="D843" s="5" t="n"/>
      <c r="E843" s="5" t="n"/>
      <c r="F843" s="6">
        <f>IF(AND(D843&lt;&gt;"",E843&lt;&gt;""),ROUND((E843-D843)*1440,0),"")</f>
        <v/>
      </c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6">
        <f>IF(C843="착유장",기준값!$B$3,IF(C843="건유·육성우동",기준값!$B$2,""))</f>
        <v/>
      </c>
      <c r="V843" s="6">
        <f>IF(AND(F843&lt;&gt;"",F843&gt;0,U843&lt;&gt;""),ROUND((U843-N(K843))/(F843/60),0),"")</f>
        <v/>
      </c>
      <c r="W843" s="6">
        <f>IF(U843&lt;&gt;"",ROUND(N(K843)/U843*100,1),"")</f>
        <v/>
      </c>
    </row>
    <row r="844">
      <c r="A844" s="3" t="n"/>
      <c r="B844" s="4" t="n"/>
      <c r="C844" s="4" t="n"/>
      <c r="D844" s="5" t="n"/>
      <c r="E844" s="5" t="n"/>
      <c r="F844" s="6">
        <f>IF(AND(D844&lt;&gt;"",E844&lt;&gt;""),ROUND((E844-D844)*1440,0),"")</f>
        <v/>
      </c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6">
        <f>IF(C844="착유장",기준값!$B$3,IF(C844="건유·육성우동",기준값!$B$2,""))</f>
        <v/>
      </c>
      <c r="V844" s="6">
        <f>IF(AND(F844&lt;&gt;"",F844&gt;0,U844&lt;&gt;""),ROUND((U844-N(K844))/(F844/60),0),"")</f>
        <v/>
      </c>
      <c r="W844" s="6">
        <f>IF(U844&lt;&gt;"",ROUND(N(K844)/U844*100,1),"")</f>
        <v/>
      </c>
    </row>
    <row r="845">
      <c r="A845" s="3" t="n"/>
      <c r="B845" s="4" t="n"/>
      <c r="C845" s="4" t="n"/>
      <c r="D845" s="5" t="n"/>
      <c r="E845" s="5" t="n"/>
      <c r="F845" s="6">
        <f>IF(AND(D845&lt;&gt;"",E845&lt;&gt;""),ROUND((E845-D845)*1440,0),"")</f>
        <v/>
      </c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6">
        <f>IF(C845="착유장",기준값!$B$3,IF(C845="건유·육성우동",기준값!$B$2,""))</f>
        <v/>
      </c>
      <c r="V845" s="6">
        <f>IF(AND(F845&lt;&gt;"",F845&gt;0,U845&lt;&gt;""),ROUND((U845-N(K845))/(F845/60),0),"")</f>
        <v/>
      </c>
      <c r="W845" s="6">
        <f>IF(U845&lt;&gt;"",ROUND(N(K845)/U845*100,1),"")</f>
        <v/>
      </c>
    </row>
    <row r="846">
      <c r="A846" s="3" t="n"/>
      <c r="B846" s="4" t="n"/>
      <c r="C846" s="4" t="n"/>
      <c r="D846" s="5" t="n"/>
      <c r="E846" s="5" t="n"/>
      <c r="F846" s="6">
        <f>IF(AND(D846&lt;&gt;"",E846&lt;&gt;""),ROUND((E846-D846)*1440,0),"")</f>
        <v/>
      </c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6">
        <f>IF(C846="착유장",기준값!$B$3,IF(C846="건유·육성우동",기준값!$B$2,""))</f>
        <v/>
      </c>
      <c r="V846" s="6">
        <f>IF(AND(F846&lt;&gt;"",F846&gt;0,U846&lt;&gt;""),ROUND((U846-N(K846))/(F846/60),0),"")</f>
        <v/>
      </c>
      <c r="W846" s="6">
        <f>IF(U846&lt;&gt;"",ROUND(N(K846)/U846*100,1),"")</f>
        <v/>
      </c>
    </row>
    <row r="847">
      <c r="A847" s="3" t="n"/>
      <c r="B847" s="4" t="n"/>
      <c r="C847" s="4" t="n"/>
      <c r="D847" s="5" t="n"/>
      <c r="E847" s="5" t="n"/>
      <c r="F847" s="6">
        <f>IF(AND(D847&lt;&gt;"",E847&lt;&gt;""),ROUND((E847-D847)*1440,0),"")</f>
        <v/>
      </c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6">
        <f>IF(C847="착유장",기준값!$B$3,IF(C847="건유·육성우동",기준값!$B$2,""))</f>
        <v/>
      </c>
      <c r="V847" s="6">
        <f>IF(AND(F847&lt;&gt;"",F847&gt;0,U847&lt;&gt;""),ROUND((U847-N(K847))/(F847/60),0),"")</f>
        <v/>
      </c>
      <c r="W847" s="6">
        <f>IF(U847&lt;&gt;"",ROUND(N(K847)/U847*100,1),"")</f>
        <v/>
      </c>
    </row>
    <row r="848">
      <c r="A848" s="3" t="n"/>
      <c r="B848" s="4" t="n"/>
      <c r="C848" s="4" t="n"/>
      <c r="D848" s="5" t="n"/>
      <c r="E848" s="5" t="n"/>
      <c r="F848" s="6">
        <f>IF(AND(D848&lt;&gt;"",E848&lt;&gt;""),ROUND((E848-D848)*1440,0),"")</f>
        <v/>
      </c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6">
        <f>IF(C848="착유장",기준값!$B$3,IF(C848="건유·육성우동",기준값!$B$2,""))</f>
        <v/>
      </c>
      <c r="V848" s="6">
        <f>IF(AND(F848&lt;&gt;"",F848&gt;0,U848&lt;&gt;""),ROUND((U848-N(K848))/(F848/60),0),"")</f>
        <v/>
      </c>
      <c r="W848" s="6">
        <f>IF(U848&lt;&gt;"",ROUND(N(K848)/U848*100,1),"")</f>
        <v/>
      </c>
    </row>
    <row r="849">
      <c r="A849" s="3" t="n"/>
      <c r="B849" s="4" t="n"/>
      <c r="C849" s="4" t="n"/>
      <c r="D849" s="5" t="n"/>
      <c r="E849" s="5" t="n"/>
      <c r="F849" s="6">
        <f>IF(AND(D849&lt;&gt;"",E849&lt;&gt;""),ROUND((E849-D849)*1440,0),"")</f>
        <v/>
      </c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6">
        <f>IF(C849="착유장",기준값!$B$3,IF(C849="건유·육성우동",기준값!$B$2,""))</f>
        <v/>
      </c>
      <c r="V849" s="6">
        <f>IF(AND(F849&lt;&gt;"",F849&gt;0,U849&lt;&gt;""),ROUND((U849-N(K849))/(F849/60),0),"")</f>
        <v/>
      </c>
      <c r="W849" s="6">
        <f>IF(U849&lt;&gt;"",ROUND(N(K849)/U849*100,1),"")</f>
        <v/>
      </c>
    </row>
    <row r="850">
      <c r="A850" s="3" t="n"/>
      <c r="B850" s="4" t="n"/>
      <c r="C850" s="4" t="n"/>
      <c r="D850" s="5" t="n"/>
      <c r="E850" s="5" t="n"/>
      <c r="F850" s="6">
        <f>IF(AND(D850&lt;&gt;"",E850&lt;&gt;""),ROUND((E850-D850)*1440,0),"")</f>
        <v/>
      </c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6">
        <f>IF(C850="착유장",기준값!$B$3,IF(C850="건유·육성우동",기준값!$B$2,""))</f>
        <v/>
      </c>
      <c r="V850" s="6">
        <f>IF(AND(F850&lt;&gt;"",F850&gt;0,U850&lt;&gt;""),ROUND((U850-N(K850))/(F850/60),0),"")</f>
        <v/>
      </c>
      <c r="W850" s="6">
        <f>IF(U850&lt;&gt;"",ROUND(N(K850)/U850*100,1),"")</f>
        <v/>
      </c>
    </row>
    <row r="851">
      <c r="A851" s="3" t="n"/>
      <c r="B851" s="4" t="n"/>
      <c r="C851" s="4" t="n"/>
      <c r="D851" s="5" t="n"/>
      <c r="E851" s="5" t="n"/>
      <c r="F851" s="6">
        <f>IF(AND(D851&lt;&gt;"",E851&lt;&gt;""),ROUND((E851-D851)*1440,0),"")</f>
        <v/>
      </c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6">
        <f>IF(C851="착유장",기준값!$B$3,IF(C851="건유·육성우동",기준값!$B$2,""))</f>
        <v/>
      </c>
      <c r="V851" s="6">
        <f>IF(AND(F851&lt;&gt;"",F851&gt;0,U851&lt;&gt;""),ROUND((U851-N(K851))/(F851/60),0),"")</f>
        <v/>
      </c>
      <c r="W851" s="6">
        <f>IF(U851&lt;&gt;"",ROUND(N(K851)/U851*100,1),"")</f>
        <v/>
      </c>
    </row>
    <row r="852">
      <c r="A852" s="3" t="n"/>
      <c r="B852" s="4" t="n"/>
      <c r="C852" s="4" t="n"/>
      <c r="D852" s="5" t="n"/>
      <c r="E852" s="5" t="n"/>
      <c r="F852" s="6">
        <f>IF(AND(D852&lt;&gt;"",E852&lt;&gt;""),ROUND((E852-D852)*1440,0),"")</f>
        <v/>
      </c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6">
        <f>IF(C852="착유장",기준값!$B$3,IF(C852="건유·육성우동",기준값!$B$2,""))</f>
        <v/>
      </c>
      <c r="V852" s="6">
        <f>IF(AND(F852&lt;&gt;"",F852&gt;0,U852&lt;&gt;""),ROUND((U852-N(K852))/(F852/60),0),"")</f>
        <v/>
      </c>
      <c r="W852" s="6">
        <f>IF(U852&lt;&gt;"",ROUND(N(K852)/U852*100,1),"")</f>
        <v/>
      </c>
    </row>
    <row r="853">
      <c r="A853" s="3" t="n"/>
      <c r="B853" s="4" t="n"/>
      <c r="C853" s="4" t="n"/>
      <c r="D853" s="5" t="n"/>
      <c r="E853" s="5" t="n"/>
      <c r="F853" s="6">
        <f>IF(AND(D853&lt;&gt;"",E853&lt;&gt;""),ROUND((E853-D853)*1440,0),"")</f>
        <v/>
      </c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6">
        <f>IF(C853="착유장",기준값!$B$3,IF(C853="건유·육성우동",기준값!$B$2,""))</f>
        <v/>
      </c>
      <c r="V853" s="6">
        <f>IF(AND(F853&lt;&gt;"",F853&gt;0,U853&lt;&gt;""),ROUND((U853-N(K853))/(F853/60),0),"")</f>
        <v/>
      </c>
      <c r="W853" s="6">
        <f>IF(U853&lt;&gt;"",ROUND(N(K853)/U853*100,1),"")</f>
        <v/>
      </c>
    </row>
    <row r="854">
      <c r="A854" s="3" t="n"/>
      <c r="B854" s="4" t="n"/>
      <c r="C854" s="4" t="n"/>
      <c r="D854" s="5" t="n"/>
      <c r="E854" s="5" t="n"/>
      <c r="F854" s="6">
        <f>IF(AND(D854&lt;&gt;"",E854&lt;&gt;""),ROUND((E854-D854)*1440,0),"")</f>
        <v/>
      </c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6">
        <f>IF(C854="착유장",기준값!$B$3,IF(C854="건유·육성우동",기준값!$B$2,""))</f>
        <v/>
      </c>
      <c r="V854" s="6">
        <f>IF(AND(F854&lt;&gt;"",F854&gt;0,U854&lt;&gt;""),ROUND((U854-N(K854))/(F854/60),0),"")</f>
        <v/>
      </c>
      <c r="W854" s="6">
        <f>IF(U854&lt;&gt;"",ROUND(N(K854)/U854*100,1),"")</f>
        <v/>
      </c>
    </row>
    <row r="855">
      <c r="A855" s="3" t="n"/>
      <c r="B855" s="4" t="n"/>
      <c r="C855" s="4" t="n"/>
      <c r="D855" s="5" t="n"/>
      <c r="E855" s="5" t="n"/>
      <c r="F855" s="6">
        <f>IF(AND(D855&lt;&gt;"",E855&lt;&gt;""),ROUND((E855-D855)*1440,0),"")</f>
        <v/>
      </c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6">
        <f>IF(C855="착유장",기준값!$B$3,IF(C855="건유·육성우동",기준값!$B$2,""))</f>
        <v/>
      </c>
      <c r="V855" s="6">
        <f>IF(AND(F855&lt;&gt;"",F855&gt;0,U855&lt;&gt;""),ROUND((U855-N(K855))/(F855/60),0),"")</f>
        <v/>
      </c>
      <c r="W855" s="6">
        <f>IF(U855&lt;&gt;"",ROUND(N(K855)/U855*100,1),"")</f>
        <v/>
      </c>
    </row>
    <row r="856">
      <c r="A856" s="3" t="n"/>
      <c r="B856" s="4" t="n"/>
      <c r="C856" s="4" t="n"/>
      <c r="D856" s="5" t="n"/>
      <c r="E856" s="5" t="n"/>
      <c r="F856" s="6">
        <f>IF(AND(D856&lt;&gt;"",E856&lt;&gt;""),ROUND((E856-D856)*1440,0),"")</f>
        <v/>
      </c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6">
        <f>IF(C856="착유장",기준값!$B$3,IF(C856="건유·육성우동",기준값!$B$2,""))</f>
        <v/>
      </c>
      <c r="V856" s="6">
        <f>IF(AND(F856&lt;&gt;"",F856&gt;0,U856&lt;&gt;""),ROUND((U856-N(K856))/(F856/60),0),"")</f>
        <v/>
      </c>
      <c r="W856" s="6">
        <f>IF(U856&lt;&gt;"",ROUND(N(K856)/U856*100,1),"")</f>
        <v/>
      </c>
    </row>
    <row r="857">
      <c r="A857" s="3" t="n"/>
      <c r="B857" s="4" t="n"/>
      <c r="C857" s="4" t="n"/>
      <c r="D857" s="5" t="n"/>
      <c r="E857" s="5" t="n"/>
      <c r="F857" s="6">
        <f>IF(AND(D857&lt;&gt;"",E857&lt;&gt;""),ROUND((E857-D857)*1440,0),"")</f>
        <v/>
      </c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6">
        <f>IF(C857="착유장",기준값!$B$3,IF(C857="건유·육성우동",기준값!$B$2,""))</f>
        <v/>
      </c>
      <c r="V857" s="6">
        <f>IF(AND(F857&lt;&gt;"",F857&gt;0,U857&lt;&gt;""),ROUND((U857-N(K857))/(F857/60),0),"")</f>
        <v/>
      </c>
      <c r="W857" s="6">
        <f>IF(U857&lt;&gt;"",ROUND(N(K857)/U857*100,1),"")</f>
        <v/>
      </c>
    </row>
    <row r="858">
      <c r="A858" s="3" t="n"/>
      <c r="B858" s="4" t="n"/>
      <c r="C858" s="4" t="n"/>
      <c r="D858" s="5" t="n"/>
      <c r="E858" s="5" t="n"/>
      <c r="F858" s="6">
        <f>IF(AND(D858&lt;&gt;"",E858&lt;&gt;""),ROUND((E858-D858)*1440,0),"")</f>
        <v/>
      </c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6">
        <f>IF(C858="착유장",기준값!$B$3,IF(C858="건유·육성우동",기준값!$B$2,""))</f>
        <v/>
      </c>
      <c r="V858" s="6">
        <f>IF(AND(F858&lt;&gt;"",F858&gt;0,U858&lt;&gt;""),ROUND((U858-N(K858))/(F858/60),0),"")</f>
        <v/>
      </c>
      <c r="W858" s="6">
        <f>IF(U858&lt;&gt;"",ROUND(N(K858)/U858*100,1),"")</f>
        <v/>
      </c>
    </row>
    <row r="859">
      <c r="A859" s="3" t="n"/>
      <c r="B859" s="4" t="n"/>
      <c r="C859" s="4" t="n"/>
      <c r="D859" s="5" t="n"/>
      <c r="E859" s="5" t="n"/>
      <c r="F859" s="6">
        <f>IF(AND(D859&lt;&gt;"",E859&lt;&gt;""),ROUND((E859-D859)*1440,0),"")</f>
        <v/>
      </c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6">
        <f>IF(C859="착유장",기준값!$B$3,IF(C859="건유·육성우동",기준값!$B$2,""))</f>
        <v/>
      </c>
      <c r="V859" s="6">
        <f>IF(AND(F859&lt;&gt;"",F859&gt;0,U859&lt;&gt;""),ROUND((U859-N(K859))/(F859/60),0),"")</f>
        <v/>
      </c>
      <c r="W859" s="6">
        <f>IF(U859&lt;&gt;"",ROUND(N(K859)/U859*100,1),"")</f>
        <v/>
      </c>
    </row>
    <row r="860">
      <c r="A860" s="3" t="n"/>
      <c r="B860" s="4" t="n"/>
      <c r="C860" s="4" t="n"/>
      <c r="D860" s="5" t="n"/>
      <c r="E860" s="5" t="n"/>
      <c r="F860" s="6">
        <f>IF(AND(D860&lt;&gt;"",E860&lt;&gt;""),ROUND((E860-D860)*1440,0),"")</f>
        <v/>
      </c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6">
        <f>IF(C860="착유장",기준값!$B$3,IF(C860="건유·육성우동",기준값!$B$2,""))</f>
        <v/>
      </c>
      <c r="V860" s="6">
        <f>IF(AND(F860&lt;&gt;"",F860&gt;0,U860&lt;&gt;""),ROUND((U860-N(K860))/(F860/60),0),"")</f>
        <v/>
      </c>
      <c r="W860" s="6">
        <f>IF(U860&lt;&gt;"",ROUND(N(K860)/U860*100,1),"")</f>
        <v/>
      </c>
    </row>
    <row r="861">
      <c r="A861" s="3" t="n"/>
      <c r="B861" s="4" t="n"/>
      <c r="C861" s="4" t="n"/>
      <c r="D861" s="5" t="n"/>
      <c r="E861" s="5" t="n"/>
      <c r="F861" s="6">
        <f>IF(AND(D861&lt;&gt;"",E861&lt;&gt;""),ROUND((E861-D861)*1440,0),"")</f>
        <v/>
      </c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6">
        <f>IF(C861="착유장",기준값!$B$3,IF(C861="건유·육성우동",기준값!$B$2,""))</f>
        <v/>
      </c>
      <c r="V861" s="6">
        <f>IF(AND(F861&lt;&gt;"",F861&gt;0,U861&lt;&gt;""),ROUND((U861-N(K861))/(F861/60),0),"")</f>
        <v/>
      </c>
      <c r="W861" s="6">
        <f>IF(U861&lt;&gt;"",ROUND(N(K861)/U861*100,1),"")</f>
        <v/>
      </c>
    </row>
    <row r="862">
      <c r="A862" s="3" t="n"/>
      <c r="B862" s="4" t="n"/>
      <c r="C862" s="4" t="n"/>
      <c r="D862" s="5" t="n"/>
      <c r="E862" s="5" t="n"/>
      <c r="F862" s="6">
        <f>IF(AND(D862&lt;&gt;"",E862&lt;&gt;""),ROUND((E862-D862)*1440,0),"")</f>
        <v/>
      </c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6">
        <f>IF(C862="착유장",기준값!$B$3,IF(C862="건유·육성우동",기준값!$B$2,""))</f>
        <v/>
      </c>
      <c r="V862" s="6">
        <f>IF(AND(F862&lt;&gt;"",F862&gt;0,U862&lt;&gt;""),ROUND((U862-N(K862))/(F862/60),0),"")</f>
        <v/>
      </c>
      <c r="W862" s="6">
        <f>IF(U862&lt;&gt;"",ROUND(N(K862)/U862*100,1),"")</f>
        <v/>
      </c>
    </row>
    <row r="863">
      <c r="A863" s="3" t="n"/>
      <c r="B863" s="4" t="n"/>
      <c r="C863" s="4" t="n"/>
      <c r="D863" s="5" t="n"/>
      <c r="E863" s="5" t="n"/>
      <c r="F863" s="6">
        <f>IF(AND(D863&lt;&gt;"",E863&lt;&gt;""),ROUND((E863-D863)*1440,0),"")</f>
        <v/>
      </c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6">
        <f>IF(C863="착유장",기준값!$B$3,IF(C863="건유·육성우동",기준값!$B$2,""))</f>
        <v/>
      </c>
      <c r="V863" s="6">
        <f>IF(AND(F863&lt;&gt;"",F863&gt;0,U863&lt;&gt;""),ROUND((U863-N(K863))/(F863/60),0),"")</f>
        <v/>
      </c>
      <c r="W863" s="6">
        <f>IF(U863&lt;&gt;"",ROUND(N(K863)/U863*100,1),"")</f>
        <v/>
      </c>
    </row>
    <row r="864">
      <c r="A864" s="3" t="n"/>
      <c r="B864" s="4" t="n"/>
      <c r="C864" s="4" t="n"/>
      <c r="D864" s="5" t="n"/>
      <c r="E864" s="5" t="n"/>
      <c r="F864" s="6">
        <f>IF(AND(D864&lt;&gt;"",E864&lt;&gt;""),ROUND((E864-D864)*1440,0),"")</f>
        <v/>
      </c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6">
        <f>IF(C864="착유장",기준값!$B$3,IF(C864="건유·육성우동",기준값!$B$2,""))</f>
        <v/>
      </c>
      <c r="V864" s="6">
        <f>IF(AND(F864&lt;&gt;"",F864&gt;0,U864&lt;&gt;""),ROUND((U864-N(K864))/(F864/60),0),"")</f>
        <v/>
      </c>
      <c r="W864" s="6">
        <f>IF(U864&lt;&gt;"",ROUND(N(K864)/U864*100,1),"")</f>
        <v/>
      </c>
    </row>
    <row r="865">
      <c r="A865" s="3" t="n"/>
      <c r="B865" s="4" t="n"/>
      <c r="C865" s="4" t="n"/>
      <c r="D865" s="5" t="n"/>
      <c r="E865" s="5" t="n"/>
      <c r="F865" s="6">
        <f>IF(AND(D865&lt;&gt;"",E865&lt;&gt;""),ROUND((E865-D865)*1440,0),"")</f>
        <v/>
      </c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6">
        <f>IF(C865="착유장",기준값!$B$3,IF(C865="건유·육성우동",기준값!$B$2,""))</f>
        <v/>
      </c>
      <c r="V865" s="6">
        <f>IF(AND(F865&lt;&gt;"",F865&gt;0,U865&lt;&gt;""),ROUND((U865-N(K865))/(F865/60),0),"")</f>
        <v/>
      </c>
      <c r="W865" s="6">
        <f>IF(U865&lt;&gt;"",ROUND(N(K865)/U865*100,1),"")</f>
        <v/>
      </c>
    </row>
    <row r="866">
      <c r="A866" s="3" t="n"/>
      <c r="B866" s="4" t="n"/>
      <c r="C866" s="4" t="n"/>
      <c r="D866" s="5" t="n"/>
      <c r="E866" s="5" t="n"/>
      <c r="F866" s="6">
        <f>IF(AND(D866&lt;&gt;"",E866&lt;&gt;""),ROUND((E866-D866)*1440,0),"")</f>
        <v/>
      </c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6">
        <f>IF(C866="착유장",기준값!$B$3,IF(C866="건유·육성우동",기준값!$B$2,""))</f>
        <v/>
      </c>
      <c r="V866" s="6">
        <f>IF(AND(F866&lt;&gt;"",F866&gt;0,U866&lt;&gt;""),ROUND((U866-N(K866))/(F866/60),0),"")</f>
        <v/>
      </c>
      <c r="W866" s="6">
        <f>IF(U866&lt;&gt;"",ROUND(N(K866)/U866*100,1),"")</f>
        <v/>
      </c>
    </row>
    <row r="867">
      <c r="A867" s="3" t="n"/>
      <c r="B867" s="4" t="n"/>
      <c r="C867" s="4" t="n"/>
      <c r="D867" s="5" t="n"/>
      <c r="E867" s="5" t="n"/>
      <c r="F867" s="6">
        <f>IF(AND(D867&lt;&gt;"",E867&lt;&gt;""),ROUND((E867-D867)*1440,0),"")</f>
        <v/>
      </c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6">
        <f>IF(C867="착유장",기준값!$B$3,IF(C867="건유·육성우동",기준값!$B$2,""))</f>
        <v/>
      </c>
      <c r="V867" s="6">
        <f>IF(AND(F867&lt;&gt;"",F867&gt;0,U867&lt;&gt;""),ROUND((U867-N(K867))/(F867/60),0),"")</f>
        <v/>
      </c>
      <c r="W867" s="6">
        <f>IF(U867&lt;&gt;"",ROUND(N(K867)/U867*100,1),"")</f>
        <v/>
      </c>
    </row>
    <row r="868">
      <c r="A868" s="3" t="n"/>
      <c r="B868" s="4" t="n"/>
      <c r="C868" s="4" t="n"/>
      <c r="D868" s="5" t="n"/>
      <c r="E868" s="5" t="n"/>
      <c r="F868" s="6">
        <f>IF(AND(D868&lt;&gt;"",E868&lt;&gt;""),ROUND((E868-D868)*1440,0),"")</f>
        <v/>
      </c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6">
        <f>IF(C868="착유장",기준값!$B$3,IF(C868="건유·육성우동",기준값!$B$2,""))</f>
        <v/>
      </c>
      <c r="V868" s="6">
        <f>IF(AND(F868&lt;&gt;"",F868&gt;0,U868&lt;&gt;""),ROUND((U868-N(K868))/(F868/60),0),"")</f>
        <v/>
      </c>
      <c r="W868" s="6">
        <f>IF(U868&lt;&gt;"",ROUND(N(K868)/U868*100,1),"")</f>
        <v/>
      </c>
    </row>
    <row r="869">
      <c r="A869" s="3" t="n"/>
      <c r="B869" s="4" t="n"/>
      <c r="C869" s="4" t="n"/>
      <c r="D869" s="5" t="n"/>
      <c r="E869" s="5" t="n"/>
      <c r="F869" s="6">
        <f>IF(AND(D869&lt;&gt;"",E869&lt;&gt;""),ROUND((E869-D869)*1440,0),"")</f>
        <v/>
      </c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6">
        <f>IF(C869="착유장",기준값!$B$3,IF(C869="건유·육성우동",기준값!$B$2,""))</f>
        <v/>
      </c>
      <c r="V869" s="6">
        <f>IF(AND(F869&lt;&gt;"",F869&gt;0,U869&lt;&gt;""),ROUND((U869-N(K869))/(F869/60),0),"")</f>
        <v/>
      </c>
      <c r="W869" s="6">
        <f>IF(U869&lt;&gt;"",ROUND(N(K869)/U869*100,1),"")</f>
        <v/>
      </c>
    </row>
    <row r="870">
      <c r="A870" s="3" t="n"/>
      <c r="B870" s="4" t="n"/>
      <c r="C870" s="4" t="n"/>
      <c r="D870" s="5" t="n"/>
      <c r="E870" s="5" t="n"/>
      <c r="F870" s="6">
        <f>IF(AND(D870&lt;&gt;"",E870&lt;&gt;""),ROUND((E870-D870)*1440,0),"")</f>
        <v/>
      </c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6">
        <f>IF(C870="착유장",기준값!$B$3,IF(C870="건유·육성우동",기준값!$B$2,""))</f>
        <v/>
      </c>
      <c r="V870" s="6">
        <f>IF(AND(F870&lt;&gt;"",F870&gt;0,U870&lt;&gt;""),ROUND((U870-N(K870))/(F870/60),0),"")</f>
        <v/>
      </c>
      <c r="W870" s="6">
        <f>IF(U870&lt;&gt;"",ROUND(N(K870)/U870*100,1),"")</f>
        <v/>
      </c>
    </row>
    <row r="871">
      <c r="A871" s="3" t="n"/>
      <c r="B871" s="4" t="n"/>
      <c r="C871" s="4" t="n"/>
      <c r="D871" s="5" t="n"/>
      <c r="E871" s="5" t="n"/>
      <c r="F871" s="6">
        <f>IF(AND(D871&lt;&gt;"",E871&lt;&gt;""),ROUND((E871-D871)*1440,0),"")</f>
        <v/>
      </c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6">
        <f>IF(C871="착유장",기준값!$B$3,IF(C871="건유·육성우동",기준값!$B$2,""))</f>
        <v/>
      </c>
      <c r="V871" s="6">
        <f>IF(AND(F871&lt;&gt;"",F871&gt;0,U871&lt;&gt;""),ROUND((U871-N(K871))/(F871/60),0),"")</f>
        <v/>
      </c>
      <c r="W871" s="6">
        <f>IF(U871&lt;&gt;"",ROUND(N(K871)/U871*100,1),"")</f>
        <v/>
      </c>
    </row>
    <row r="872">
      <c r="A872" s="3" t="n"/>
      <c r="B872" s="4" t="n"/>
      <c r="C872" s="4" t="n"/>
      <c r="D872" s="5" t="n"/>
      <c r="E872" s="5" t="n"/>
      <c r="F872" s="6">
        <f>IF(AND(D872&lt;&gt;"",E872&lt;&gt;""),ROUND((E872-D872)*1440,0),"")</f>
        <v/>
      </c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6">
        <f>IF(C872="착유장",기준값!$B$3,IF(C872="건유·육성우동",기준값!$B$2,""))</f>
        <v/>
      </c>
      <c r="V872" s="6">
        <f>IF(AND(F872&lt;&gt;"",F872&gt;0,U872&lt;&gt;""),ROUND((U872-N(K872))/(F872/60),0),"")</f>
        <v/>
      </c>
      <c r="W872" s="6">
        <f>IF(U872&lt;&gt;"",ROUND(N(K872)/U872*100,1),"")</f>
        <v/>
      </c>
    </row>
    <row r="873">
      <c r="A873" s="3" t="n"/>
      <c r="B873" s="4" t="n"/>
      <c r="C873" s="4" t="n"/>
      <c r="D873" s="5" t="n"/>
      <c r="E873" s="5" t="n"/>
      <c r="F873" s="6">
        <f>IF(AND(D873&lt;&gt;"",E873&lt;&gt;""),ROUND((E873-D873)*1440,0),"")</f>
        <v/>
      </c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6">
        <f>IF(C873="착유장",기준값!$B$3,IF(C873="건유·육성우동",기준값!$B$2,""))</f>
        <v/>
      </c>
      <c r="V873" s="6">
        <f>IF(AND(F873&lt;&gt;"",F873&gt;0,U873&lt;&gt;""),ROUND((U873-N(K873))/(F873/60),0),"")</f>
        <v/>
      </c>
      <c r="W873" s="6">
        <f>IF(U873&lt;&gt;"",ROUND(N(K873)/U873*100,1),"")</f>
        <v/>
      </c>
    </row>
    <row r="874">
      <c r="A874" s="3" t="n"/>
      <c r="B874" s="4" t="n"/>
      <c r="C874" s="4" t="n"/>
      <c r="D874" s="5" t="n"/>
      <c r="E874" s="5" t="n"/>
      <c r="F874" s="6">
        <f>IF(AND(D874&lt;&gt;"",E874&lt;&gt;""),ROUND((E874-D874)*1440,0),"")</f>
        <v/>
      </c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6">
        <f>IF(C874="착유장",기준값!$B$3,IF(C874="건유·육성우동",기준값!$B$2,""))</f>
        <v/>
      </c>
      <c r="V874" s="6">
        <f>IF(AND(F874&lt;&gt;"",F874&gt;0,U874&lt;&gt;""),ROUND((U874-N(K874))/(F874/60),0),"")</f>
        <v/>
      </c>
      <c r="W874" s="6">
        <f>IF(U874&lt;&gt;"",ROUND(N(K874)/U874*100,1),"")</f>
        <v/>
      </c>
    </row>
    <row r="875">
      <c r="A875" s="3" t="n"/>
      <c r="B875" s="4" t="n"/>
      <c r="C875" s="4" t="n"/>
      <c r="D875" s="5" t="n"/>
      <c r="E875" s="5" t="n"/>
      <c r="F875" s="6">
        <f>IF(AND(D875&lt;&gt;"",E875&lt;&gt;""),ROUND((E875-D875)*1440,0),"")</f>
        <v/>
      </c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6">
        <f>IF(C875="착유장",기준값!$B$3,IF(C875="건유·육성우동",기준값!$B$2,""))</f>
        <v/>
      </c>
      <c r="V875" s="6">
        <f>IF(AND(F875&lt;&gt;"",F875&gt;0,U875&lt;&gt;""),ROUND((U875-N(K875))/(F875/60),0),"")</f>
        <v/>
      </c>
      <c r="W875" s="6">
        <f>IF(U875&lt;&gt;"",ROUND(N(K875)/U875*100,1),"")</f>
        <v/>
      </c>
    </row>
    <row r="876">
      <c r="A876" s="3" t="n"/>
      <c r="B876" s="4" t="n"/>
      <c r="C876" s="4" t="n"/>
      <c r="D876" s="5" t="n"/>
      <c r="E876" s="5" t="n"/>
      <c r="F876" s="6">
        <f>IF(AND(D876&lt;&gt;"",E876&lt;&gt;""),ROUND((E876-D876)*1440,0),"")</f>
        <v/>
      </c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6">
        <f>IF(C876="착유장",기준값!$B$3,IF(C876="건유·육성우동",기준값!$B$2,""))</f>
        <v/>
      </c>
      <c r="V876" s="6">
        <f>IF(AND(F876&lt;&gt;"",F876&gt;0,U876&lt;&gt;""),ROUND((U876-N(K876))/(F876/60),0),"")</f>
        <v/>
      </c>
      <c r="W876" s="6">
        <f>IF(U876&lt;&gt;"",ROUND(N(K876)/U876*100,1),"")</f>
        <v/>
      </c>
    </row>
    <row r="877">
      <c r="A877" s="3" t="n"/>
      <c r="B877" s="4" t="n"/>
      <c r="C877" s="4" t="n"/>
      <c r="D877" s="5" t="n"/>
      <c r="E877" s="5" t="n"/>
      <c r="F877" s="6">
        <f>IF(AND(D877&lt;&gt;"",E877&lt;&gt;""),ROUND((E877-D877)*1440,0),"")</f>
        <v/>
      </c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6">
        <f>IF(C877="착유장",기준값!$B$3,IF(C877="건유·육성우동",기준값!$B$2,""))</f>
        <v/>
      </c>
      <c r="V877" s="6">
        <f>IF(AND(F877&lt;&gt;"",F877&gt;0,U877&lt;&gt;""),ROUND((U877-N(K877))/(F877/60),0),"")</f>
        <v/>
      </c>
      <c r="W877" s="6">
        <f>IF(U877&lt;&gt;"",ROUND(N(K877)/U877*100,1),"")</f>
        <v/>
      </c>
    </row>
    <row r="878">
      <c r="A878" s="3" t="n"/>
      <c r="B878" s="4" t="n"/>
      <c r="C878" s="4" t="n"/>
      <c r="D878" s="5" t="n"/>
      <c r="E878" s="5" t="n"/>
      <c r="F878" s="6">
        <f>IF(AND(D878&lt;&gt;"",E878&lt;&gt;""),ROUND((E878-D878)*1440,0),"")</f>
        <v/>
      </c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6">
        <f>IF(C878="착유장",기준값!$B$3,IF(C878="건유·육성우동",기준값!$B$2,""))</f>
        <v/>
      </c>
      <c r="V878" s="6">
        <f>IF(AND(F878&lt;&gt;"",F878&gt;0,U878&lt;&gt;""),ROUND((U878-N(K878))/(F878/60),0),"")</f>
        <v/>
      </c>
      <c r="W878" s="6">
        <f>IF(U878&lt;&gt;"",ROUND(N(K878)/U878*100,1),"")</f>
        <v/>
      </c>
    </row>
    <row r="879">
      <c r="A879" s="3" t="n"/>
      <c r="B879" s="4" t="n"/>
      <c r="C879" s="4" t="n"/>
      <c r="D879" s="5" t="n"/>
      <c r="E879" s="5" t="n"/>
      <c r="F879" s="6">
        <f>IF(AND(D879&lt;&gt;"",E879&lt;&gt;""),ROUND((E879-D879)*1440,0),"")</f>
        <v/>
      </c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6">
        <f>IF(C879="착유장",기준값!$B$3,IF(C879="건유·육성우동",기준값!$B$2,""))</f>
        <v/>
      </c>
      <c r="V879" s="6">
        <f>IF(AND(F879&lt;&gt;"",F879&gt;0,U879&lt;&gt;""),ROUND((U879-N(K879))/(F879/60),0),"")</f>
        <v/>
      </c>
      <c r="W879" s="6">
        <f>IF(U879&lt;&gt;"",ROUND(N(K879)/U879*100,1),"")</f>
        <v/>
      </c>
    </row>
    <row r="880">
      <c r="A880" s="3" t="n"/>
      <c r="B880" s="4" t="n"/>
      <c r="C880" s="4" t="n"/>
      <c r="D880" s="5" t="n"/>
      <c r="E880" s="5" t="n"/>
      <c r="F880" s="6">
        <f>IF(AND(D880&lt;&gt;"",E880&lt;&gt;""),ROUND((E880-D880)*1440,0),"")</f>
        <v/>
      </c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6">
        <f>IF(C880="착유장",기준값!$B$3,IF(C880="건유·육성우동",기준값!$B$2,""))</f>
        <v/>
      </c>
      <c r="V880" s="6">
        <f>IF(AND(F880&lt;&gt;"",F880&gt;0,U880&lt;&gt;""),ROUND((U880-N(K880))/(F880/60),0),"")</f>
        <v/>
      </c>
      <c r="W880" s="6">
        <f>IF(U880&lt;&gt;"",ROUND(N(K880)/U880*100,1),"")</f>
        <v/>
      </c>
    </row>
    <row r="881">
      <c r="A881" s="3" t="n"/>
      <c r="B881" s="4" t="n"/>
      <c r="C881" s="4" t="n"/>
      <c r="D881" s="5" t="n"/>
      <c r="E881" s="5" t="n"/>
      <c r="F881" s="6">
        <f>IF(AND(D881&lt;&gt;"",E881&lt;&gt;""),ROUND((E881-D881)*1440,0),"")</f>
        <v/>
      </c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6">
        <f>IF(C881="착유장",기준값!$B$3,IF(C881="건유·육성우동",기준값!$B$2,""))</f>
        <v/>
      </c>
      <c r="V881" s="6">
        <f>IF(AND(F881&lt;&gt;"",F881&gt;0,U881&lt;&gt;""),ROUND((U881-N(K881))/(F881/60),0),"")</f>
        <v/>
      </c>
      <c r="W881" s="6">
        <f>IF(U881&lt;&gt;"",ROUND(N(K881)/U881*100,1),"")</f>
        <v/>
      </c>
    </row>
    <row r="882">
      <c r="A882" s="3" t="n"/>
      <c r="B882" s="4" t="n"/>
      <c r="C882" s="4" t="n"/>
      <c r="D882" s="5" t="n"/>
      <c r="E882" s="5" t="n"/>
      <c r="F882" s="6">
        <f>IF(AND(D882&lt;&gt;"",E882&lt;&gt;""),ROUND((E882-D882)*1440,0),"")</f>
        <v/>
      </c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6">
        <f>IF(C882="착유장",기준값!$B$3,IF(C882="건유·육성우동",기준값!$B$2,""))</f>
        <v/>
      </c>
      <c r="V882" s="6">
        <f>IF(AND(F882&lt;&gt;"",F882&gt;0,U882&lt;&gt;""),ROUND((U882-N(K882))/(F882/60),0),"")</f>
        <v/>
      </c>
      <c r="W882" s="6">
        <f>IF(U882&lt;&gt;"",ROUND(N(K882)/U882*100,1),"")</f>
        <v/>
      </c>
    </row>
    <row r="883">
      <c r="A883" s="3" t="n"/>
      <c r="B883" s="4" t="n"/>
      <c r="C883" s="4" t="n"/>
      <c r="D883" s="5" t="n"/>
      <c r="E883" s="5" t="n"/>
      <c r="F883" s="6">
        <f>IF(AND(D883&lt;&gt;"",E883&lt;&gt;""),ROUND((E883-D883)*1440,0),"")</f>
        <v/>
      </c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6">
        <f>IF(C883="착유장",기준값!$B$3,IF(C883="건유·육성우동",기준값!$B$2,""))</f>
        <v/>
      </c>
      <c r="V883" s="6">
        <f>IF(AND(F883&lt;&gt;"",F883&gt;0,U883&lt;&gt;""),ROUND((U883-N(K883))/(F883/60),0),"")</f>
        <v/>
      </c>
      <c r="W883" s="6">
        <f>IF(U883&lt;&gt;"",ROUND(N(K883)/U883*100,1),"")</f>
        <v/>
      </c>
    </row>
    <row r="884">
      <c r="A884" s="3" t="n"/>
      <c r="B884" s="4" t="n"/>
      <c r="C884" s="4" t="n"/>
      <c r="D884" s="5" t="n"/>
      <c r="E884" s="5" t="n"/>
      <c r="F884" s="6">
        <f>IF(AND(D884&lt;&gt;"",E884&lt;&gt;""),ROUND((E884-D884)*1440,0),"")</f>
        <v/>
      </c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6">
        <f>IF(C884="착유장",기준값!$B$3,IF(C884="건유·육성우동",기준값!$B$2,""))</f>
        <v/>
      </c>
      <c r="V884" s="6">
        <f>IF(AND(F884&lt;&gt;"",F884&gt;0,U884&lt;&gt;""),ROUND((U884-N(K884))/(F884/60),0),"")</f>
        <v/>
      </c>
      <c r="W884" s="6">
        <f>IF(U884&lt;&gt;"",ROUND(N(K884)/U884*100,1),"")</f>
        <v/>
      </c>
    </row>
    <row r="885">
      <c r="A885" s="3" t="n"/>
      <c r="B885" s="4" t="n"/>
      <c r="C885" s="4" t="n"/>
      <c r="D885" s="5" t="n"/>
      <c r="E885" s="5" t="n"/>
      <c r="F885" s="6">
        <f>IF(AND(D885&lt;&gt;"",E885&lt;&gt;""),ROUND((E885-D885)*1440,0),"")</f>
        <v/>
      </c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6">
        <f>IF(C885="착유장",기준값!$B$3,IF(C885="건유·육성우동",기준값!$B$2,""))</f>
        <v/>
      </c>
      <c r="V885" s="6">
        <f>IF(AND(F885&lt;&gt;"",F885&gt;0,U885&lt;&gt;""),ROUND((U885-N(K885))/(F885/60),0),"")</f>
        <v/>
      </c>
      <c r="W885" s="6">
        <f>IF(U885&lt;&gt;"",ROUND(N(K885)/U885*100,1),"")</f>
        <v/>
      </c>
    </row>
    <row r="886">
      <c r="A886" s="3" t="n"/>
      <c r="B886" s="4" t="n"/>
      <c r="C886" s="4" t="n"/>
      <c r="D886" s="5" t="n"/>
      <c r="E886" s="5" t="n"/>
      <c r="F886" s="6">
        <f>IF(AND(D886&lt;&gt;"",E886&lt;&gt;""),ROUND((E886-D886)*1440,0),"")</f>
        <v/>
      </c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6">
        <f>IF(C886="착유장",기준값!$B$3,IF(C886="건유·육성우동",기준값!$B$2,""))</f>
        <v/>
      </c>
      <c r="V886" s="6">
        <f>IF(AND(F886&lt;&gt;"",F886&gt;0,U886&lt;&gt;""),ROUND((U886-N(K886))/(F886/60),0),"")</f>
        <v/>
      </c>
      <c r="W886" s="6">
        <f>IF(U886&lt;&gt;"",ROUND(N(K886)/U886*100,1),"")</f>
        <v/>
      </c>
    </row>
    <row r="887">
      <c r="A887" s="3" t="n"/>
      <c r="B887" s="4" t="n"/>
      <c r="C887" s="4" t="n"/>
      <c r="D887" s="5" t="n"/>
      <c r="E887" s="5" t="n"/>
      <c r="F887" s="6">
        <f>IF(AND(D887&lt;&gt;"",E887&lt;&gt;""),ROUND((E887-D887)*1440,0),"")</f>
        <v/>
      </c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6">
        <f>IF(C887="착유장",기준값!$B$3,IF(C887="건유·육성우동",기준값!$B$2,""))</f>
        <v/>
      </c>
      <c r="V887" s="6">
        <f>IF(AND(F887&lt;&gt;"",F887&gt;0,U887&lt;&gt;""),ROUND((U887-N(K887))/(F887/60),0),"")</f>
        <v/>
      </c>
      <c r="W887" s="6">
        <f>IF(U887&lt;&gt;"",ROUND(N(K887)/U887*100,1),"")</f>
        <v/>
      </c>
    </row>
    <row r="888">
      <c r="A888" s="3" t="n"/>
      <c r="B888" s="4" t="n"/>
      <c r="C888" s="4" t="n"/>
      <c r="D888" s="5" t="n"/>
      <c r="E888" s="5" t="n"/>
      <c r="F888" s="6">
        <f>IF(AND(D888&lt;&gt;"",E888&lt;&gt;""),ROUND((E888-D888)*1440,0),"")</f>
        <v/>
      </c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6">
        <f>IF(C888="착유장",기준값!$B$3,IF(C888="건유·육성우동",기준값!$B$2,""))</f>
        <v/>
      </c>
      <c r="V888" s="6">
        <f>IF(AND(F888&lt;&gt;"",F888&gt;0,U888&lt;&gt;""),ROUND((U888-N(K888))/(F888/60),0),"")</f>
        <v/>
      </c>
      <c r="W888" s="6">
        <f>IF(U888&lt;&gt;"",ROUND(N(K888)/U888*100,1),"")</f>
        <v/>
      </c>
    </row>
    <row r="889">
      <c r="A889" s="3" t="n"/>
      <c r="B889" s="4" t="n"/>
      <c r="C889" s="4" t="n"/>
      <c r="D889" s="5" t="n"/>
      <c r="E889" s="5" t="n"/>
      <c r="F889" s="6">
        <f>IF(AND(D889&lt;&gt;"",E889&lt;&gt;""),ROUND((E889-D889)*1440,0),"")</f>
        <v/>
      </c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6">
        <f>IF(C889="착유장",기준값!$B$3,IF(C889="건유·육성우동",기준값!$B$2,""))</f>
        <v/>
      </c>
      <c r="V889" s="6">
        <f>IF(AND(F889&lt;&gt;"",F889&gt;0,U889&lt;&gt;""),ROUND((U889-N(K889))/(F889/60),0),"")</f>
        <v/>
      </c>
      <c r="W889" s="6">
        <f>IF(U889&lt;&gt;"",ROUND(N(K889)/U889*100,1),"")</f>
        <v/>
      </c>
    </row>
    <row r="890">
      <c r="A890" s="3" t="n"/>
      <c r="B890" s="4" t="n"/>
      <c r="C890" s="4" t="n"/>
      <c r="D890" s="5" t="n"/>
      <c r="E890" s="5" t="n"/>
      <c r="F890" s="6">
        <f>IF(AND(D890&lt;&gt;"",E890&lt;&gt;""),ROUND((E890-D890)*1440,0),"")</f>
        <v/>
      </c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6">
        <f>IF(C890="착유장",기준값!$B$3,IF(C890="건유·육성우동",기준값!$B$2,""))</f>
        <v/>
      </c>
      <c r="V890" s="6">
        <f>IF(AND(F890&lt;&gt;"",F890&gt;0,U890&lt;&gt;""),ROUND((U890-N(K890))/(F890/60),0),"")</f>
        <v/>
      </c>
      <c r="W890" s="6">
        <f>IF(U890&lt;&gt;"",ROUND(N(K890)/U890*100,1),"")</f>
        <v/>
      </c>
    </row>
    <row r="891">
      <c r="A891" s="3" t="n"/>
      <c r="B891" s="4" t="n"/>
      <c r="C891" s="4" t="n"/>
      <c r="D891" s="5" t="n"/>
      <c r="E891" s="5" t="n"/>
      <c r="F891" s="6">
        <f>IF(AND(D891&lt;&gt;"",E891&lt;&gt;""),ROUND((E891-D891)*1440,0),"")</f>
        <v/>
      </c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6">
        <f>IF(C891="착유장",기준값!$B$3,IF(C891="건유·육성우동",기준값!$B$2,""))</f>
        <v/>
      </c>
      <c r="V891" s="6">
        <f>IF(AND(F891&lt;&gt;"",F891&gt;0,U891&lt;&gt;""),ROUND((U891-N(K891))/(F891/60),0),"")</f>
        <v/>
      </c>
      <c r="W891" s="6">
        <f>IF(U891&lt;&gt;"",ROUND(N(K891)/U891*100,1),"")</f>
        <v/>
      </c>
    </row>
    <row r="892">
      <c r="A892" s="3" t="n"/>
      <c r="B892" s="4" t="n"/>
      <c r="C892" s="4" t="n"/>
      <c r="D892" s="5" t="n"/>
      <c r="E892" s="5" t="n"/>
      <c r="F892" s="6">
        <f>IF(AND(D892&lt;&gt;"",E892&lt;&gt;""),ROUND((E892-D892)*1440,0),"")</f>
        <v/>
      </c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6">
        <f>IF(C892="착유장",기준값!$B$3,IF(C892="건유·육성우동",기준값!$B$2,""))</f>
        <v/>
      </c>
      <c r="V892" s="6">
        <f>IF(AND(F892&lt;&gt;"",F892&gt;0,U892&lt;&gt;""),ROUND((U892-N(K892))/(F892/60),0),"")</f>
        <v/>
      </c>
      <c r="W892" s="6">
        <f>IF(U892&lt;&gt;"",ROUND(N(K892)/U892*100,1),"")</f>
        <v/>
      </c>
    </row>
    <row r="893">
      <c r="A893" s="3" t="n"/>
      <c r="B893" s="4" t="n"/>
      <c r="C893" s="4" t="n"/>
      <c r="D893" s="5" t="n"/>
      <c r="E893" s="5" t="n"/>
      <c r="F893" s="6">
        <f>IF(AND(D893&lt;&gt;"",E893&lt;&gt;""),ROUND((E893-D893)*1440,0),"")</f>
        <v/>
      </c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6">
        <f>IF(C893="착유장",기준값!$B$3,IF(C893="건유·육성우동",기준값!$B$2,""))</f>
        <v/>
      </c>
      <c r="V893" s="6">
        <f>IF(AND(F893&lt;&gt;"",F893&gt;0,U893&lt;&gt;""),ROUND((U893-N(K893))/(F893/60),0),"")</f>
        <v/>
      </c>
      <c r="W893" s="6">
        <f>IF(U893&lt;&gt;"",ROUND(N(K893)/U893*100,1),"")</f>
        <v/>
      </c>
    </row>
    <row r="894">
      <c r="A894" s="3" t="n"/>
      <c r="B894" s="4" t="n"/>
      <c r="C894" s="4" t="n"/>
      <c r="D894" s="5" t="n"/>
      <c r="E894" s="5" t="n"/>
      <c r="F894" s="6">
        <f>IF(AND(D894&lt;&gt;"",E894&lt;&gt;""),ROUND((E894-D894)*1440,0),"")</f>
        <v/>
      </c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6">
        <f>IF(C894="착유장",기준값!$B$3,IF(C894="건유·육성우동",기준값!$B$2,""))</f>
        <v/>
      </c>
      <c r="V894" s="6">
        <f>IF(AND(F894&lt;&gt;"",F894&gt;0,U894&lt;&gt;""),ROUND((U894-N(K894))/(F894/60),0),"")</f>
        <v/>
      </c>
      <c r="W894" s="6">
        <f>IF(U894&lt;&gt;"",ROUND(N(K894)/U894*100,1),"")</f>
        <v/>
      </c>
    </row>
    <row r="895">
      <c r="A895" s="3" t="n"/>
      <c r="B895" s="4" t="n"/>
      <c r="C895" s="4" t="n"/>
      <c r="D895" s="5" t="n"/>
      <c r="E895" s="5" t="n"/>
      <c r="F895" s="6">
        <f>IF(AND(D895&lt;&gt;"",E895&lt;&gt;""),ROUND((E895-D895)*1440,0),"")</f>
        <v/>
      </c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6">
        <f>IF(C895="착유장",기준값!$B$3,IF(C895="건유·육성우동",기준값!$B$2,""))</f>
        <v/>
      </c>
      <c r="V895" s="6">
        <f>IF(AND(F895&lt;&gt;"",F895&gt;0,U895&lt;&gt;""),ROUND((U895-N(K895))/(F895/60),0),"")</f>
        <v/>
      </c>
      <c r="W895" s="6">
        <f>IF(U895&lt;&gt;"",ROUND(N(K895)/U895*100,1),"")</f>
        <v/>
      </c>
    </row>
    <row r="896">
      <c r="A896" s="3" t="n"/>
      <c r="B896" s="4" t="n"/>
      <c r="C896" s="4" t="n"/>
      <c r="D896" s="5" t="n"/>
      <c r="E896" s="5" t="n"/>
      <c r="F896" s="6">
        <f>IF(AND(D896&lt;&gt;"",E896&lt;&gt;""),ROUND((E896-D896)*1440,0),"")</f>
        <v/>
      </c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6">
        <f>IF(C896="착유장",기준값!$B$3,IF(C896="건유·육성우동",기준값!$B$2,""))</f>
        <v/>
      </c>
      <c r="V896" s="6">
        <f>IF(AND(F896&lt;&gt;"",F896&gt;0,U896&lt;&gt;""),ROUND((U896-N(K896))/(F896/60),0),"")</f>
        <v/>
      </c>
      <c r="W896" s="6">
        <f>IF(U896&lt;&gt;"",ROUND(N(K896)/U896*100,1),"")</f>
        <v/>
      </c>
    </row>
    <row r="897">
      <c r="A897" s="3" t="n"/>
      <c r="B897" s="4" t="n"/>
      <c r="C897" s="4" t="n"/>
      <c r="D897" s="5" t="n"/>
      <c r="E897" s="5" t="n"/>
      <c r="F897" s="6">
        <f>IF(AND(D897&lt;&gt;"",E897&lt;&gt;""),ROUND((E897-D897)*1440,0),"")</f>
        <v/>
      </c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6">
        <f>IF(C897="착유장",기준값!$B$3,IF(C897="건유·육성우동",기준값!$B$2,""))</f>
        <v/>
      </c>
      <c r="V897" s="6">
        <f>IF(AND(F897&lt;&gt;"",F897&gt;0,U897&lt;&gt;""),ROUND((U897-N(K897))/(F897/60),0),"")</f>
        <v/>
      </c>
      <c r="W897" s="6">
        <f>IF(U897&lt;&gt;"",ROUND(N(K897)/U897*100,1),"")</f>
        <v/>
      </c>
    </row>
    <row r="898">
      <c r="A898" s="3" t="n"/>
      <c r="B898" s="4" t="n"/>
      <c r="C898" s="4" t="n"/>
      <c r="D898" s="5" t="n"/>
      <c r="E898" s="5" t="n"/>
      <c r="F898" s="6">
        <f>IF(AND(D898&lt;&gt;"",E898&lt;&gt;""),ROUND((E898-D898)*1440,0),"")</f>
        <v/>
      </c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6">
        <f>IF(C898="착유장",기준값!$B$3,IF(C898="건유·육성우동",기준값!$B$2,""))</f>
        <v/>
      </c>
      <c r="V898" s="6">
        <f>IF(AND(F898&lt;&gt;"",F898&gt;0,U898&lt;&gt;""),ROUND((U898-N(K898))/(F898/60),0),"")</f>
        <v/>
      </c>
      <c r="W898" s="6">
        <f>IF(U898&lt;&gt;"",ROUND(N(K898)/U898*100,1),"")</f>
        <v/>
      </c>
    </row>
    <row r="899">
      <c r="A899" s="3" t="n"/>
      <c r="B899" s="4" t="n"/>
      <c r="C899" s="4" t="n"/>
      <c r="D899" s="5" t="n"/>
      <c r="E899" s="5" t="n"/>
      <c r="F899" s="6">
        <f>IF(AND(D899&lt;&gt;"",E899&lt;&gt;""),ROUND((E899-D899)*1440,0),"")</f>
        <v/>
      </c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6">
        <f>IF(C899="착유장",기준값!$B$3,IF(C899="건유·육성우동",기준값!$B$2,""))</f>
        <v/>
      </c>
      <c r="V899" s="6">
        <f>IF(AND(F899&lt;&gt;"",F899&gt;0,U899&lt;&gt;""),ROUND((U899-N(K899))/(F899/60),0),"")</f>
        <v/>
      </c>
      <c r="W899" s="6">
        <f>IF(U899&lt;&gt;"",ROUND(N(K899)/U899*100,1),"")</f>
        <v/>
      </c>
    </row>
    <row r="900">
      <c r="A900" s="3" t="n"/>
      <c r="B900" s="4" t="n"/>
      <c r="C900" s="4" t="n"/>
      <c r="D900" s="5" t="n"/>
      <c r="E900" s="5" t="n"/>
      <c r="F900" s="6">
        <f>IF(AND(D900&lt;&gt;"",E900&lt;&gt;""),ROUND((E900-D900)*1440,0),"")</f>
        <v/>
      </c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6">
        <f>IF(C900="착유장",기준값!$B$3,IF(C900="건유·육성우동",기준값!$B$2,""))</f>
        <v/>
      </c>
      <c r="V900" s="6">
        <f>IF(AND(F900&lt;&gt;"",F900&gt;0,U900&lt;&gt;""),ROUND((U900-N(K900))/(F900/60),0),"")</f>
        <v/>
      </c>
      <c r="W900" s="6">
        <f>IF(U900&lt;&gt;"",ROUND(N(K900)/U900*100,1),"")</f>
        <v/>
      </c>
    </row>
    <row r="901">
      <c r="A901" s="3" t="n"/>
      <c r="B901" s="4" t="n"/>
      <c r="C901" s="4" t="n"/>
      <c r="D901" s="5" t="n"/>
      <c r="E901" s="5" t="n"/>
      <c r="F901" s="6">
        <f>IF(AND(D901&lt;&gt;"",E901&lt;&gt;""),ROUND((E901-D901)*1440,0),"")</f>
        <v/>
      </c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6">
        <f>IF(C901="착유장",기준값!$B$3,IF(C901="건유·육성우동",기준값!$B$2,""))</f>
        <v/>
      </c>
      <c r="V901" s="6">
        <f>IF(AND(F901&lt;&gt;"",F901&gt;0,U901&lt;&gt;""),ROUND((U901-N(K901))/(F901/60),0),"")</f>
        <v/>
      </c>
      <c r="W901" s="6">
        <f>IF(U901&lt;&gt;"",ROUND(N(K901)/U901*100,1),"")</f>
        <v/>
      </c>
    </row>
    <row r="902">
      <c r="A902" s="3" t="n"/>
      <c r="B902" s="4" t="n"/>
      <c r="C902" s="4" t="n"/>
      <c r="D902" s="5" t="n"/>
      <c r="E902" s="5" t="n"/>
      <c r="F902" s="6">
        <f>IF(AND(D902&lt;&gt;"",E902&lt;&gt;""),ROUND((E902-D902)*1440,0),"")</f>
        <v/>
      </c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6">
        <f>IF(C902="착유장",기준값!$B$3,IF(C902="건유·육성우동",기준값!$B$2,""))</f>
        <v/>
      </c>
      <c r="V902" s="6">
        <f>IF(AND(F902&lt;&gt;"",F902&gt;0,U902&lt;&gt;""),ROUND((U902-N(K902))/(F902/60),0),"")</f>
        <v/>
      </c>
      <c r="W902" s="6">
        <f>IF(U902&lt;&gt;"",ROUND(N(K902)/U902*100,1),"")</f>
        <v/>
      </c>
    </row>
    <row r="903">
      <c r="A903" s="3" t="n"/>
      <c r="B903" s="4" t="n"/>
      <c r="C903" s="4" t="n"/>
      <c r="D903" s="5" t="n"/>
      <c r="E903" s="5" t="n"/>
      <c r="F903" s="6">
        <f>IF(AND(D903&lt;&gt;"",E903&lt;&gt;""),ROUND((E903-D903)*1440,0),"")</f>
        <v/>
      </c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6">
        <f>IF(C903="착유장",기준값!$B$3,IF(C903="건유·육성우동",기준값!$B$2,""))</f>
        <v/>
      </c>
      <c r="V903" s="6">
        <f>IF(AND(F903&lt;&gt;"",F903&gt;0,U903&lt;&gt;""),ROUND((U903-N(K903))/(F903/60),0),"")</f>
        <v/>
      </c>
      <c r="W903" s="6">
        <f>IF(U903&lt;&gt;"",ROUND(N(K903)/U903*100,1),"")</f>
        <v/>
      </c>
    </row>
    <row r="904">
      <c r="A904" s="3" t="n"/>
      <c r="B904" s="4" t="n"/>
      <c r="C904" s="4" t="n"/>
      <c r="D904" s="5" t="n"/>
      <c r="E904" s="5" t="n"/>
      <c r="F904" s="6">
        <f>IF(AND(D904&lt;&gt;"",E904&lt;&gt;""),ROUND((E904-D904)*1440,0),"")</f>
        <v/>
      </c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6">
        <f>IF(C904="착유장",기준값!$B$3,IF(C904="건유·육성우동",기준값!$B$2,""))</f>
        <v/>
      </c>
      <c r="V904" s="6">
        <f>IF(AND(F904&lt;&gt;"",F904&gt;0,U904&lt;&gt;""),ROUND((U904-N(K904))/(F904/60),0),"")</f>
        <v/>
      </c>
      <c r="W904" s="6">
        <f>IF(U904&lt;&gt;"",ROUND(N(K904)/U904*100,1),"")</f>
        <v/>
      </c>
    </row>
    <row r="905">
      <c r="A905" s="3" t="n"/>
      <c r="B905" s="4" t="n"/>
      <c r="C905" s="4" t="n"/>
      <c r="D905" s="5" t="n"/>
      <c r="E905" s="5" t="n"/>
      <c r="F905" s="6">
        <f>IF(AND(D905&lt;&gt;"",E905&lt;&gt;""),ROUND((E905-D905)*1440,0),"")</f>
        <v/>
      </c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6">
        <f>IF(C905="착유장",기준값!$B$3,IF(C905="건유·육성우동",기준값!$B$2,""))</f>
        <v/>
      </c>
      <c r="V905" s="6">
        <f>IF(AND(F905&lt;&gt;"",F905&gt;0,U905&lt;&gt;""),ROUND((U905-N(K905))/(F905/60),0),"")</f>
        <v/>
      </c>
      <c r="W905" s="6">
        <f>IF(U905&lt;&gt;"",ROUND(N(K905)/U905*100,1),"")</f>
        <v/>
      </c>
    </row>
    <row r="906">
      <c r="A906" s="3" t="n"/>
      <c r="B906" s="4" t="n"/>
      <c r="C906" s="4" t="n"/>
      <c r="D906" s="5" t="n"/>
      <c r="E906" s="5" t="n"/>
      <c r="F906" s="6">
        <f>IF(AND(D906&lt;&gt;"",E906&lt;&gt;""),ROUND((E906-D906)*1440,0),"")</f>
        <v/>
      </c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6">
        <f>IF(C906="착유장",기준값!$B$3,IF(C906="건유·육성우동",기준값!$B$2,""))</f>
        <v/>
      </c>
      <c r="V906" s="6">
        <f>IF(AND(F906&lt;&gt;"",F906&gt;0,U906&lt;&gt;""),ROUND((U906-N(K906))/(F906/60),0),"")</f>
        <v/>
      </c>
      <c r="W906" s="6">
        <f>IF(U906&lt;&gt;"",ROUND(N(K906)/U906*100,1),"")</f>
        <v/>
      </c>
    </row>
    <row r="907">
      <c r="A907" s="3" t="n"/>
      <c r="B907" s="4" t="n"/>
      <c r="C907" s="4" t="n"/>
      <c r="D907" s="5" t="n"/>
      <c r="E907" s="5" t="n"/>
      <c r="F907" s="6">
        <f>IF(AND(D907&lt;&gt;"",E907&lt;&gt;""),ROUND((E907-D907)*1440,0),"")</f>
        <v/>
      </c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6">
        <f>IF(C907="착유장",기준값!$B$3,IF(C907="건유·육성우동",기준값!$B$2,""))</f>
        <v/>
      </c>
      <c r="V907" s="6">
        <f>IF(AND(F907&lt;&gt;"",F907&gt;0,U907&lt;&gt;""),ROUND((U907-N(K907))/(F907/60),0),"")</f>
        <v/>
      </c>
      <c r="W907" s="6">
        <f>IF(U907&lt;&gt;"",ROUND(N(K907)/U907*100,1),"")</f>
        <v/>
      </c>
    </row>
    <row r="908">
      <c r="A908" s="3" t="n"/>
      <c r="B908" s="4" t="n"/>
      <c r="C908" s="4" t="n"/>
      <c r="D908" s="5" t="n"/>
      <c r="E908" s="5" t="n"/>
      <c r="F908" s="6">
        <f>IF(AND(D908&lt;&gt;"",E908&lt;&gt;""),ROUND((E908-D908)*1440,0),"")</f>
        <v/>
      </c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6">
        <f>IF(C908="착유장",기준값!$B$3,IF(C908="건유·육성우동",기준값!$B$2,""))</f>
        <v/>
      </c>
      <c r="V908" s="6">
        <f>IF(AND(F908&lt;&gt;"",F908&gt;0,U908&lt;&gt;""),ROUND((U908-N(K908))/(F908/60),0),"")</f>
        <v/>
      </c>
      <c r="W908" s="6">
        <f>IF(U908&lt;&gt;"",ROUND(N(K908)/U908*100,1),"")</f>
        <v/>
      </c>
    </row>
    <row r="909">
      <c r="A909" s="3" t="n"/>
      <c r="B909" s="4" t="n"/>
      <c r="C909" s="4" t="n"/>
      <c r="D909" s="5" t="n"/>
      <c r="E909" s="5" t="n"/>
      <c r="F909" s="6">
        <f>IF(AND(D909&lt;&gt;"",E909&lt;&gt;""),ROUND((E909-D909)*1440,0),"")</f>
        <v/>
      </c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6">
        <f>IF(C909="착유장",기준값!$B$3,IF(C909="건유·육성우동",기준값!$B$2,""))</f>
        <v/>
      </c>
      <c r="V909" s="6">
        <f>IF(AND(F909&lt;&gt;"",F909&gt;0,U909&lt;&gt;""),ROUND((U909-N(K909))/(F909/60),0),"")</f>
        <v/>
      </c>
      <c r="W909" s="6">
        <f>IF(U909&lt;&gt;"",ROUND(N(K909)/U909*100,1),"")</f>
        <v/>
      </c>
    </row>
    <row r="910">
      <c r="A910" s="3" t="n"/>
      <c r="B910" s="4" t="n"/>
      <c r="C910" s="4" t="n"/>
      <c r="D910" s="5" t="n"/>
      <c r="E910" s="5" t="n"/>
      <c r="F910" s="6">
        <f>IF(AND(D910&lt;&gt;"",E910&lt;&gt;""),ROUND((E910-D910)*1440,0),"")</f>
        <v/>
      </c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6">
        <f>IF(C910="착유장",기준값!$B$3,IF(C910="건유·육성우동",기준값!$B$2,""))</f>
        <v/>
      </c>
      <c r="V910" s="6">
        <f>IF(AND(F910&lt;&gt;"",F910&gt;0,U910&lt;&gt;""),ROUND((U910-N(K910))/(F910/60),0),"")</f>
        <v/>
      </c>
      <c r="W910" s="6">
        <f>IF(U910&lt;&gt;"",ROUND(N(K910)/U910*100,1),"")</f>
        <v/>
      </c>
    </row>
    <row r="911">
      <c r="A911" s="3" t="n"/>
      <c r="B911" s="4" t="n"/>
      <c r="C911" s="4" t="n"/>
      <c r="D911" s="5" t="n"/>
      <c r="E911" s="5" t="n"/>
      <c r="F911" s="6">
        <f>IF(AND(D911&lt;&gt;"",E911&lt;&gt;""),ROUND((E911-D911)*1440,0),"")</f>
        <v/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6">
        <f>IF(C911="착유장",기준값!$B$3,IF(C911="건유·육성우동",기준값!$B$2,""))</f>
        <v/>
      </c>
      <c r="V911" s="6">
        <f>IF(AND(F911&lt;&gt;"",F911&gt;0,U911&lt;&gt;""),ROUND((U911-N(K911))/(F911/60),0),"")</f>
        <v/>
      </c>
      <c r="W911" s="6">
        <f>IF(U911&lt;&gt;"",ROUND(N(K911)/U911*100,1),"")</f>
        <v/>
      </c>
    </row>
    <row r="912">
      <c r="A912" s="3" t="n"/>
      <c r="B912" s="4" t="n"/>
      <c r="C912" s="4" t="n"/>
      <c r="D912" s="5" t="n"/>
      <c r="E912" s="5" t="n"/>
      <c r="F912" s="6">
        <f>IF(AND(D912&lt;&gt;"",E912&lt;&gt;""),ROUND((E912-D912)*1440,0),"")</f>
        <v/>
      </c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6">
        <f>IF(C912="착유장",기준값!$B$3,IF(C912="건유·육성우동",기준값!$B$2,""))</f>
        <v/>
      </c>
      <c r="V912" s="6">
        <f>IF(AND(F912&lt;&gt;"",F912&gt;0,U912&lt;&gt;""),ROUND((U912-N(K912))/(F912/60),0),"")</f>
        <v/>
      </c>
      <c r="W912" s="6">
        <f>IF(U912&lt;&gt;"",ROUND(N(K912)/U912*100,1),"")</f>
        <v/>
      </c>
    </row>
    <row r="913">
      <c r="A913" s="3" t="n"/>
      <c r="B913" s="4" t="n"/>
      <c r="C913" s="4" t="n"/>
      <c r="D913" s="5" t="n"/>
      <c r="E913" s="5" t="n"/>
      <c r="F913" s="6">
        <f>IF(AND(D913&lt;&gt;"",E913&lt;&gt;""),ROUND((E913-D913)*1440,0),"")</f>
        <v/>
      </c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6">
        <f>IF(C913="착유장",기준값!$B$3,IF(C913="건유·육성우동",기준값!$B$2,""))</f>
        <v/>
      </c>
      <c r="V913" s="6">
        <f>IF(AND(F913&lt;&gt;"",F913&gt;0,U913&lt;&gt;""),ROUND((U913-N(K913))/(F913/60),0),"")</f>
        <v/>
      </c>
      <c r="W913" s="6">
        <f>IF(U913&lt;&gt;"",ROUND(N(K913)/U913*100,1),"")</f>
        <v/>
      </c>
    </row>
    <row r="914">
      <c r="A914" s="3" t="n"/>
      <c r="B914" s="4" t="n"/>
      <c r="C914" s="4" t="n"/>
      <c r="D914" s="5" t="n"/>
      <c r="E914" s="5" t="n"/>
      <c r="F914" s="6">
        <f>IF(AND(D914&lt;&gt;"",E914&lt;&gt;""),ROUND((E914-D914)*1440,0),"")</f>
        <v/>
      </c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6">
        <f>IF(C914="착유장",기준값!$B$3,IF(C914="건유·육성우동",기준값!$B$2,""))</f>
        <v/>
      </c>
      <c r="V914" s="6">
        <f>IF(AND(F914&lt;&gt;"",F914&gt;0,U914&lt;&gt;""),ROUND((U914-N(K914))/(F914/60),0),"")</f>
        <v/>
      </c>
      <c r="W914" s="6">
        <f>IF(U914&lt;&gt;"",ROUND(N(K914)/U914*100,1),"")</f>
        <v/>
      </c>
    </row>
    <row r="915">
      <c r="A915" s="3" t="n"/>
      <c r="B915" s="4" t="n"/>
      <c r="C915" s="4" t="n"/>
      <c r="D915" s="5" t="n"/>
      <c r="E915" s="5" t="n"/>
      <c r="F915" s="6">
        <f>IF(AND(D915&lt;&gt;"",E915&lt;&gt;""),ROUND((E915-D915)*1440,0),"")</f>
        <v/>
      </c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6">
        <f>IF(C915="착유장",기준값!$B$3,IF(C915="건유·육성우동",기준값!$B$2,""))</f>
        <v/>
      </c>
      <c r="V915" s="6">
        <f>IF(AND(F915&lt;&gt;"",F915&gt;0,U915&lt;&gt;""),ROUND((U915-N(K915))/(F915/60),0),"")</f>
        <v/>
      </c>
      <c r="W915" s="6">
        <f>IF(U915&lt;&gt;"",ROUND(N(K915)/U915*100,1),"")</f>
        <v/>
      </c>
    </row>
    <row r="916">
      <c r="A916" s="3" t="n"/>
      <c r="B916" s="4" t="n"/>
      <c r="C916" s="4" t="n"/>
      <c r="D916" s="5" t="n"/>
      <c r="E916" s="5" t="n"/>
      <c r="F916" s="6">
        <f>IF(AND(D916&lt;&gt;"",E916&lt;&gt;""),ROUND((E916-D916)*1440,0),"")</f>
        <v/>
      </c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6">
        <f>IF(C916="착유장",기준값!$B$3,IF(C916="건유·육성우동",기준값!$B$2,""))</f>
        <v/>
      </c>
      <c r="V916" s="6">
        <f>IF(AND(F916&lt;&gt;"",F916&gt;0,U916&lt;&gt;""),ROUND((U916-N(K916))/(F916/60),0),"")</f>
        <v/>
      </c>
      <c r="W916" s="6">
        <f>IF(U916&lt;&gt;"",ROUND(N(K916)/U916*100,1),"")</f>
        <v/>
      </c>
    </row>
    <row r="917">
      <c r="A917" s="3" t="n"/>
      <c r="B917" s="4" t="n"/>
      <c r="C917" s="4" t="n"/>
      <c r="D917" s="5" t="n"/>
      <c r="E917" s="5" t="n"/>
      <c r="F917" s="6">
        <f>IF(AND(D917&lt;&gt;"",E917&lt;&gt;""),ROUND((E917-D917)*1440,0),"")</f>
        <v/>
      </c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6">
        <f>IF(C917="착유장",기준값!$B$3,IF(C917="건유·육성우동",기준값!$B$2,""))</f>
        <v/>
      </c>
      <c r="V917" s="6">
        <f>IF(AND(F917&lt;&gt;"",F917&gt;0,U917&lt;&gt;""),ROUND((U917-N(K917))/(F917/60),0),"")</f>
        <v/>
      </c>
      <c r="W917" s="6">
        <f>IF(U917&lt;&gt;"",ROUND(N(K917)/U917*100,1),"")</f>
        <v/>
      </c>
    </row>
    <row r="918">
      <c r="A918" s="3" t="n"/>
      <c r="B918" s="4" t="n"/>
      <c r="C918" s="4" t="n"/>
      <c r="D918" s="5" t="n"/>
      <c r="E918" s="5" t="n"/>
      <c r="F918" s="6">
        <f>IF(AND(D918&lt;&gt;"",E918&lt;&gt;""),ROUND((E918-D918)*1440,0),"")</f>
        <v/>
      </c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6">
        <f>IF(C918="착유장",기준값!$B$3,IF(C918="건유·육성우동",기준값!$B$2,""))</f>
        <v/>
      </c>
      <c r="V918" s="6">
        <f>IF(AND(F918&lt;&gt;"",F918&gt;0,U918&lt;&gt;""),ROUND((U918-N(K918))/(F918/60),0),"")</f>
        <v/>
      </c>
      <c r="W918" s="6">
        <f>IF(U918&lt;&gt;"",ROUND(N(K918)/U918*100,1),"")</f>
        <v/>
      </c>
    </row>
    <row r="919">
      <c r="A919" s="3" t="n"/>
      <c r="B919" s="4" t="n"/>
      <c r="C919" s="4" t="n"/>
      <c r="D919" s="5" t="n"/>
      <c r="E919" s="5" t="n"/>
      <c r="F919" s="6">
        <f>IF(AND(D919&lt;&gt;"",E919&lt;&gt;""),ROUND((E919-D919)*1440,0),"")</f>
        <v/>
      </c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6">
        <f>IF(C919="착유장",기준값!$B$3,IF(C919="건유·육성우동",기준값!$B$2,""))</f>
        <v/>
      </c>
      <c r="V919" s="6">
        <f>IF(AND(F919&lt;&gt;"",F919&gt;0,U919&lt;&gt;""),ROUND((U919-N(K919))/(F919/60),0),"")</f>
        <v/>
      </c>
      <c r="W919" s="6">
        <f>IF(U919&lt;&gt;"",ROUND(N(K919)/U919*100,1),"")</f>
        <v/>
      </c>
    </row>
    <row r="920">
      <c r="A920" s="3" t="n"/>
      <c r="B920" s="4" t="n"/>
      <c r="C920" s="4" t="n"/>
      <c r="D920" s="5" t="n"/>
      <c r="E920" s="5" t="n"/>
      <c r="F920" s="6">
        <f>IF(AND(D920&lt;&gt;"",E920&lt;&gt;""),ROUND((E920-D920)*1440,0),"")</f>
        <v/>
      </c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6">
        <f>IF(C920="착유장",기준값!$B$3,IF(C920="건유·육성우동",기준값!$B$2,""))</f>
        <v/>
      </c>
      <c r="V920" s="6">
        <f>IF(AND(F920&lt;&gt;"",F920&gt;0,U920&lt;&gt;""),ROUND((U920-N(K920))/(F920/60),0),"")</f>
        <v/>
      </c>
      <c r="W920" s="6">
        <f>IF(U920&lt;&gt;"",ROUND(N(K920)/U920*100,1),"")</f>
        <v/>
      </c>
    </row>
    <row r="921">
      <c r="A921" s="3" t="n"/>
      <c r="B921" s="4" t="n"/>
      <c r="C921" s="4" t="n"/>
      <c r="D921" s="5" t="n"/>
      <c r="E921" s="5" t="n"/>
      <c r="F921" s="6">
        <f>IF(AND(D921&lt;&gt;"",E921&lt;&gt;""),ROUND((E921-D921)*1440,0),"")</f>
        <v/>
      </c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6">
        <f>IF(C921="착유장",기준값!$B$3,IF(C921="건유·육성우동",기준값!$B$2,""))</f>
        <v/>
      </c>
      <c r="V921" s="6">
        <f>IF(AND(F921&lt;&gt;"",F921&gt;0,U921&lt;&gt;""),ROUND((U921-N(K921))/(F921/60),0),"")</f>
        <v/>
      </c>
      <c r="W921" s="6">
        <f>IF(U921&lt;&gt;"",ROUND(N(K921)/U921*100,1),"")</f>
        <v/>
      </c>
    </row>
    <row r="922">
      <c r="A922" s="3" t="n"/>
      <c r="B922" s="4" t="n"/>
      <c r="C922" s="4" t="n"/>
      <c r="D922" s="5" t="n"/>
      <c r="E922" s="5" t="n"/>
      <c r="F922" s="6">
        <f>IF(AND(D922&lt;&gt;"",E922&lt;&gt;""),ROUND((E922-D922)*1440,0),"")</f>
        <v/>
      </c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6">
        <f>IF(C922="착유장",기준값!$B$3,IF(C922="건유·육성우동",기준값!$B$2,""))</f>
        <v/>
      </c>
      <c r="V922" s="6">
        <f>IF(AND(F922&lt;&gt;"",F922&gt;0,U922&lt;&gt;""),ROUND((U922-N(K922))/(F922/60),0),"")</f>
        <v/>
      </c>
      <c r="W922" s="6">
        <f>IF(U922&lt;&gt;"",ROUND(N(K922)/U922*100,1),"")</f>
        <v/>
      </c>
    </row>
    <row r="923">
      <c r="A923" s="3" t="n"/>
      <c r="B923" s="4" t="n"/>
      <c r="C923" s="4" t="n"/>
      <c r="D923" s="5" t="n"/>
      <c r="E923" s="5" t="n"/>
      <c r="F923" s="6">
        <f>IF(AND(D923&lt;&gt;"",E923&lt;&gt;""),ROUND((E923-D923)*1440,0),"")</f>
        <v/>
      </c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6">
        <f>IF(C923="착유장",기준값!$B$3,IF(C923="건유·육성우동",기준값!$B$2,""))</f>
        <v/>
      </c>
      <c r="V923" s="6">
        <f>IF(AND(F923&lt;&gt;"",F923&gt;0,U923&lt;&gt;""),ROUND((U923-N(K923))/(F923/60),0),"")</f>
        <v/>
      </c>
      <c r="W923" s="6">
        <f>IF(U923&lt;&gt;"",ROUND(N(K923)/U923*100,1),"")</f>
        <v/>
      </c>
    </row>
    <row r="924">
      <c r="A924" s="3" t="n"/>
      <c r="B924" s="4" t="n"/>
      <c r="C924" s="4" t="n"/>
      <c r="D924" s="5" t="n"/>
      <c r="E924" s="5" t="n"/>
      <c r="F924" s="6">
        <f>IF(AND(D924&lt;&gt;"",E924&lt;&gt;""),ROUND((E924-D924)*1440,0),"")</f>
        <v/>
      </c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6">
        <f>IF(C924="착유장",기준값!$B$3,IF(C924="건유·육성우동",기준값!$B$2,""))</f>
        <v/>
      </c>
      <c r="V924" s="6">
        <f>IF(AND(F924&lt;&gt;"",F924&gt;0,U924&lt;&gt;""),ROUND((U924-N(K924))/(F924/60),0),"")</f>
        <v/>
      </c>
      <c r="W924" s="6">
        <f>IF(U924&lt;&gt;"",ROUND(N(K924)/U924*100,1),"")</f>
        <v/>
      </c>
    </row>
    <row r="925">
      <c r="A925" s="3" t="n"/>
      <c r="B925" s="4" t="n"/>
      <c r="C925" s="4" t="n"/>
      <c r="D925" s="5" t="n"/>
      <c r="E925" s="5" t="n"/>
      <c r="F925" s="6">
        <f>IF(AND(D925&lt;&gt;"",E925&lt;&gt;""),ROUND((E925-D925)*1440,0),"")</f>
        <v/>
      </c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6">
        <f>IF(C925="착유장",기준값!$B$3,IF(C925="건유·육성우동",기준값!$B$2,""))</f>
        <v/>
      </c>
      <c r="V925" s="6">
        <f>IF(AND(F925&lt;&gt;"",F925&gt;0,U925&lt;&gt;""),ROUND((U925-N(K925))/(F925/60),0),"")</f>
        <v/>
      </c>
      <c r="W925" s="6">
        <f>IF(U925&lt;&gt;"",ROUND(N(K925)/U925*100,1),"")</f>
        <v/>
      </c>
    </row>
    <row r="926">
      <c r="A926" s="3" t="n"/>
      <c r="B926" s="4" t="n"/>
      <c r="C926" s="4" t="n"/>
      <c r="D926" s="5" t="n"/>
      <c r="E926" s="5" t="n"/>
      <c r="F926" s="6">
        <f>IF(AND(D926&lt;&gt;"",E926&lt;&gt;""),ROUND((E926-D926)*1440,0),"")</f>
        <v/>
      </c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6">
        <f>IF(C926="착유장",기준값!$B$3,IF(C926="건유·육성우동",기준값!$B$2,""))</f>
        <v/>
      </c>
      <c r="V926" s="6">
        <f>IF(AND(F926&lt;&gt;"",F926&gt;0,U926&lt;&gt;""),ROUND((U926-N(K926))/(F926/60),0),"")</f>
        <v/>
      </c>
      <c r="W926" s="6">
        <f>IF(U926&lt;&gt;"",ROUND(N(K926)/U926*100,1),"")</f>
        <v/>
      </c>
    </row>
    <row r="927">
      <c r="A927" s="3" t="n"/>
      <c r="B927" s="4" t="n"/>
      <c r="C927" s="4" t="n"/>
      <c r="D927" s="5" t="n"/>
      <c r="E927" s="5" t="n"/>
      <c r="F927" s="6">
        <f>IF(AND(D927&lt;&gt;"",E927&lt;&gt;""),ROUND((E927-D927)*1440,0),"")</f>
        <v/>
      </c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6">
        <f>IF(C927="착유장",기준값!$B$3,IF(C927="건유·육성우동",기준값!$B$2,""))</f>
        <v/>
      </c>
      <c r="V927" s="6">
        <f>IF(AND(F927&lt;&gt;"",F927&gt;0,U927&lt;&gt;""),ROUND((U927-N(K927))/(F927/60),0),"")</f>
        <v/>
      </c>
      <c r="W927" s="6">
        <f>IF(U927&lt;&gt;"",ROUND(N(K927)/U927*100,1),"")</f>
        <v/>
      </c>
    </row>
    <row r="928">
      <c r="A928" s="3" t="n"/>
      <c r="B928" s="4" t="n"/>
      <c r="C928" s="4" t="n"/>
      <c r="D928" s="5" t="n"/>
      <c r="E928" s="5" t="n"/>
      <c r="F928" s="6">
        <f>IF(AND(D928&lt;&gt;"",E928&lt;&gt;""),ROUND((E928-D928)*1440,0),"")</f>
        <v/>
      </c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6">
        <f>IF(C928="착유장",기준값!$B$3,IF(C928="건유·육성우동",기준값!$B$2,""))</f>
        <v/>
      </c>
      <c r="V928" s="6">
        <f>IF(AND(F928&lt;&gt;"",F928&gt;0,U928&lt;&gt;""),ROUND((U928-N(K928))/(F928/60),0),"")</f>
        <v/>
      </c>
      <c r="W928" s="6">
        <f>IF(U928&lt;&gt;"",ROUND(N(K928)/U928*100,1),"")</f>
        <v/>
      </c>
    </row>
    <row r="929">
      <c r="A929" s="3" t="n"/>
      <c r="B929" s="4" t="n"/>
      <c r="C929" s="4" t="n"/>
      <c r="D929" s="5" t="n"/>
      <c r="E929" s="5" t="n"/>
      <c r="F929" s="6">
        <f>IF(AND(D929&lt;&gt;"",E929&lt;&gt;""),ROUND((E929-D929)*1440,0),"")</f>
        <v/>
      </c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6">
        <f>IF(C929="착유장",기준값!$B$3,IF(C929="건유·육성우동",기준값!$B$2,""))</f>
        <v/>
      </c>
      <c r="V929" s="6">
        <f>IF(AND(F929&lt;&gt;"",F929&gt;0,U929&lt;&gt;""),ROUND((U929-N(K929))/(F929/60),0),"")</f>
        <v/>
      </c>
      <c r="W929" s="6">
        <f>IF(U929&lt;&gt;"",ROUND(N(K929)/U929*100,1),"")</f>
        <v/>
      </c>
    </row>
    <row r="930">
      <c r="A930" s="3" t="n"/>
      <c r="B930" s="4" t="n"/>
      <c r="C930" s="4" t="n"/>
      <c r="D930" s="5" t="n"/>
      <c r="E930" s="5" t="n"/>
      <c r="F930" s="6">
        <f>IF(AND(D930&lt;&gt;"",E930&lt;&gt;""),ROUND((E930-D930)*1440,0),"")</f>
        <v/>
      </c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6">
        <f>IF(C930="착유장",기준값!$B$3,IF(C930="건유·육성우동",기준값!$B$2,""))</f>
        <v/>
      </c>
      <c r="V930" s="6">
        <f>IF(AND(F930&lt;&gt;"",F930&gt;0,U930&lt;&gt;""),ROUND((U930-N(K930))/(F930/60),0),"")</f>
        <v/>
      </c>
      <c r="W930" s="6">
        <f>IF(U930&lt;&gt;"",ROUND(N(K930)/U930*100,1),"")</f>
        <v/>
      </c>
    </row>
    <row r="931">
      <c r="A931" s="3" t="n"/>
      <c r="B931" s="4" t="n"/>
      <c r="C931" s="4" t="n"/>
      <c r="D931" s="5" t="n"/>
      <c r="E931" s="5" t="n"/>
      <c r="F931" s="6">
        <f>IF(AND(D931&lt;&gt;"",E931&lt;&gt;""),ROUND((E931-D931)*1440,0),"")</f>
        <v/>
      </c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6">
        <f>IF(C931="착유장",기준값!$B$3,IF(C931="건유·육성우동",기준값!$B$2,""))</f>
        <v/>
      </c>
      <c r="V931" s="6">
        <f>IF(AND(F931&lt;&gt;"",F931&gt;0,U931&lt;&gt;""),ROUND((U931-N(K931))/(F931/60),0),"")</f>
        <v/>
      </c>
      <c r="W931" s="6">
        <f>IF(U931&lt;&gt;"",ROUND(N(K931)/U931*100,1),"")</f>
        <v/>
      </c>
    </row>
    <row r="932">
      <c r="A932" s="3" t="n"/>
      <c r="B932" s="4" t="n"/>
      <c r="C932" s="4" t="n"/>
      <c r="D932" s="5" t="n"/>
      <c r="E932" s="5" t="n"/>
      <c r="F932" s="6">
        <f>IF(AND(D932&lt;&gt;"",E932&lt;&gt;""),ROUND((E932-D932)*1440,0),"")</f>
        <v/>
      </c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6">
        <f>IF(C932="착유장",기준값!$B$3,IF(C932="건유·육성우동",기준값!$B$2,""))</f>
        <v/>
      </c>
      <c r="V932" s="6">
        <f>IF(AND(F932&lt;&gt;"",F932&gt;0,U932&lt;&gt;""),ROUND((U932-N(K932))/(F932/60),0),"")</f>
        <v/>
      </c>
      <c r="W932" s="6">
        <f>IF(U932&lt;&gt;"",ROUND(N(K932)/U932*100,1),"")</f>
        <v/>
      </c>
    </row>
    <row r="933">
      <c r="A933" s="3" t="n"/>
      <c r="B933" s="4" t="n"/>
      <c r="C933" s="4" t="n"/>
      <c r="D933" s="5" t="n"/>
      <c r="E933" s="5" t="n"/>
      <c r="F933" s="6">
        <f>IF(AND(D933&lt;&gt;"",E933&lt;&gt;""),ROUND((E933-D933)*1440,0),"")</f>
        <v/>
      </c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6">
        <f>IF(C933="착유장",기준값!$B$3,IF(C933="건유·육성우동",기준값!$B$2,""))</f>
        <v/>
      </c>
      <c r="V933" s="6">
        <f>IF(AND(F933&lt;&gt;"",F933&gt;0,U933&lt;&gt;""),ROUND((U933-N(K933))/(F933/60),0),"")</f>
        <v/>
      </c>
      <c r="W933" s="6">
        <f>IF(U933&lt;&gt;"",ROUND(N(K933)/U933*100,1),"")</f>
        <v/>
      </c>
    </row>
    <row r="934">
      <c r="A934" s="3" t="n"/>
      <c r="B934" s="4" t="n"/>
      <c r="C934" s="4" t="n"/>
      <c r="D934" s="5" t="n"/>
      <c r="E934" s="5" t="n"/>
      <c r="F934" s="6">
        <f>IF(AND(D934&lt;&gt;"",E934&lt;&gt;""),ROUND((E934-D934)*1440,0),"")</f>
        <v/>
      </c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6">
        <f>IF(C934="착유장",기준값!$B$3,IF(C934="건유·육성우동",기준값!$B$2,""))</f>
        <v/>
      </c>
      <c r="V934" s="6">
        <f>IF(AND(F934&lt;&gt;"",F934&gt;0,U934&lt;&gt;""),ROUND((U934-N(K934))/(F934/60),0),"")</f>
        <v/>
      </c>
      <c r="W934" s="6">
        <f>IF(U934&lt;&gt;"",ROUND(N(K934)/U934*100,1),"")</f>
        <v/>
      </c>
    </row>
    <row r="935">
      <c r="A935" s="3" t="n"/>
      <c r="B935" s="4" t="n"/>
      <c r="C935" s="4" t="n"/>
      <c r="D935" s="5" t="n"/>
      <c r="E935" s="5" t="n"/>
      <c r="F935" s="6">
        <f>IF(AND(D935&lt;&gt;"",E935&lt;&gt;""),ROUND((E935-D935)*1440,0),"")</f>
        <v/>
      </c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6">
        <f>IF(C935="착유장",기준값!$B$3,IF(C935="건유·육성우동",기준값!$B$2,""))</f>
        <v/>
      </c>
      <c r="V935" s="6">
        <f>IF(AND(F935&lt;&gt;"",F935&gt;0,U935&lt;&gt;""),ROUND((U935-N(K935))/(F935/60),0),"")</f>
        <v/>
      </c>
      <c r="W935" s="6">
        <f>IF(U935&lt;&gt;"",ROUND(N(K935)/U935*100,1),"")</f>
        <v/>
      </c>
    </row>
    <row r="936">
      <c r="A936" s="3" t="n"/>
      <c r="B936" s="4" t="n"/>
      <c r="C936" s="4" t="n"/>
      <c r="D936" s="5" t="n"/>
      <c r="E936" s="5" t="n"/>
      <c r="F936" s="6">
        <f>IF(AND(D936&lt;&gt;"",E936&lt;&gt;""),ROUND((E936-D936)*1440,0),"")</f>
        <v/>
      </c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6">
        <f>IF(C936="착유장",기준값!$B$3,IF(C936="건유·육성우동",기준값!$B$2,""))</f>
        <v/>
      </c>
      <c r="V936" s="6">
        <f>IF(AND(F936&lt;&gt;"",F936&gt;0,U936&lt;&gt;""),ROUND((U936-N(K936))/(F936/60),0),"")</f>
        <v/>
      </c>
      <c r="W936" s="6">
        <f>IF(U936&lt;&gt;"",ROUND(N(K936)/U936*100,1),"")</f>
        <v/>
      </c>
    </row>
    <row r="937">
      <c r="A937" s="3" t="n"/>
      <c r="B937" s="4" t="n"/>
      <c r="C937" s="4" t="n"/>
      <c r="D937" s="5" t="n"/>
      <c r="E937" s="5" t="n"/>
      <c r="F937" s="6">
        <f>IF(AND(D937&lt;&gt;"",E937&lt;&gt;""),ROUND((E937-D937)*1440,0),"")</f>
        <v/>
      </c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6">
        <f>IF(C937="착유장",기준값!$B$3,IF(C937="건유·육성우동",기준값!$B$2,""))</f>
        <v/>
      </c>
      <c r="V937" s="6">
        <f>IF(AND(F937&lt;&gt;"",F937&gt;0,U937&lt;&gt;""),ROUND((U937-N(K937))/(F937/60),0),"")</f>
        <v/>
      </c>
      <c r="W937" s="6">
        <f>IF(U937&lt;&gt;"",ROUND(N(K937)/U937*100,1),"")</f>
        <v/>
      </c>
    </row>
    <row r="938">
      <c r="A938" s="3" t="n"/>
      <c r="B938" s="4" t="n"/>
      <c r="C938" s="4" t="n"/>
      <c r="D938" s="5" t="n"/>
      <c r="E938" s="5" t="n"/>
      <c r="F938" s="6">
        <f>IF(AND(D938&lt;&gt;"",E938&lt;&gt;""),ROUND((E938-D938)*1440,0),"")</f>
        <v/>
      </c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6">
        <f>IF(C938="착유장",기준값!$B$3,IF(C938="건유·육성우동",기준값!$B$2,""))</f>
        <v/>
      </c>
      <c r="V938" s="6">
        <f>IF(AND(F938&lt;&gt;"",F938&gt;0,U938&lt;&gt;""),ROUND((U938-N(K938))/(F938/60),0),"")</f>
        <v/>
      </c>
      <c r="W938" s="6">
        <f>IF(U938&lt;&gt;"",ROUND(N(K938)/U938*100,1),"")</f>
        <v/>
      </c>
    </row>
    <row r="939">
      <c r="A939" s="3" t="n"/>
      <c r="B939" s="4" t="n"/>
      <c r="C939" s="4" t="n"/>
      <c r="D939" s="5" t="n"/>
      <c r="E939" s="5" t="n"/>
      <c r="F939" s="6">
        <f>IF(AND(D939&lt;&gt;"",E939&lt;&gt;""),ROUND((E939-D939)*1440,0),"")</f>
        <v/>
      </c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6">
        <f>IF(C939="착유장",기준값!$B$3,IF(C939="건유·육성우동",기준값!$B$2,""))</f>
        <v/>
      </c>
      <c r="V939" s="6">
        <f>IF(AND(F939&lt;&gt;"",F939&gt;0,U939&lt;&gt;""),ROUND((U939-N(K939))/(F939/60),0),"")</f>
        <v/>
      </c>
      <c r="W939" s="6">
        <f>IF(U939&lt;&gt;"",ROUND(N(K939)/U939*100,1),"")</f>
        <v/>
      </c>
    </row>
    <row r="940">
      <c r="A940" s="3" t="n"/>
      <c r="B940" s="4" t="n"/>
      <c r="C940" s="4" t="n"/>
      <c r="D940" s="5" t="n"/>
      <c r="E940" s="5" t="n"/>
      <c r="F940" s="6">
        <f>IF(AND(D940&lt;&gt;"",E940&lt;&gt;""),ROUND((E940-D940)*1440,0),"")</f>
        <v/>
      </c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6">
        <f>IF(C940="착유장",기준값!$B$3,IF(C940="건유·육성우동",기준값!$B$2,""))</f>
        <v/>
      </c>
      <c r="V940" s="6">
        <f>IF(AND(F940&lt;&gt;"",F940&gt;0,U940&lt;&gt;""),ROUND((U940-N(K940))/(F940/60),0),"")</f>
        <v/>
      </c>
      <c r="W940" s="6">
        <f>IF(U940&lt;&gt;"",ROUND(N(K940)/U940*100,1),"")</f>
        <v/>
      </c>
    </row>
    <row r="941">
      <c r="A941" s="3" t="n"/>
      <c r="B941" s="4" t="n"/>
      <c r="C941" s="4" t="n"/>
      <c r="D941" s="5" t="n"/>
      <c r="E941" s="5" t="n"/>
      <c r="F941" s="6">
        <f>IF(AND(D941&lt;&gt;"",E941&lt;&gt;""),ROUND((E941-D941)*1440,0),"")</f>
        <v/>
      </c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6">
        <f>IF(C941="착유장",기준값!$B$3,IF(C941="건유·육성우동",기준값!$B$2,""))</f>
        <v/>
      </c>
      <c r="V941" s="6">
        <f>IF(AND(F941&lt;&gt;"",F941&gt;0,U941&lt;&gt;""),ROUND((U941-N(K941))/(F941/60),0),"")</f>
        <v/>
      </c>
      <c r="W941" s="6">
        <f>IF(U941&lt;&gt;"",ROUND(N(K941)/U941*100,1),"")</f>
        <v/>
      </c>
    </row>
    <row r="942">
      <c r="A942" s="3" t="n"/>
      <c r="B942" s="4" t="n"/>
      <c r="C942" s="4" t="n"/>
      <c r="D942" s="5" t="n"/>
      <c r="E942" s="5" t="n"/>
      <c r="F942" s="6">
        <f>IF(AND(D942&lt;&gt;"",E942&lt;&gt;""),ROUND((E942-D942)*1440,0),"")</f>
        <v/>
      </c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6">
        <f>IF(C942="착유장",기준값!$B$3,IF(C942="건유·육성우동",기준값!$B$2,""))</f>
        <v/>
      </c>
      <c r="V942" s="6">
        <f>IF(AND(F942&lt;&gt;"",F942&gt;0,U942&lt;&gt;""),ROUND((U942-N(K942))/(F942/60),0),"")</f>
        <v/>
      </c>
      <c r="W942" s="6">
        <f>IF(U942&lt;&gt;"",ROUND(N(K942)/U942*100,1),"")</f>
        <v/>
      </c>
    </row>
    <row r="943">
      <c r="A943" s="3" t="n"/>
      <c r="B943" s="4" t="n"/>
      <c r="C943" s="4" t="n"/>
      <c r="D943" s="5" t="n"/>
      <c r="E943" s="5" t="n"/>
      <c r="F943" s="6">
        <f>IF(AND(D943&lt;&gt;"",E943&lt;&gt;""),ROUND((E943-D943)*1440,0),"")</f>
        <v/>
      </c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6">
        <f>IF(C943="착유장",기준값!$B$3,IF(C943="건유·육성우동",기준값!$B$2,""))</f>
        <v/>
      </c>
      <c r="V943" s="6">
        <f>IF(AND(F943&lt;&gt;"",F943&gt;0,U943&lt;&gt;""),ROUND((U943-N(K943))/(F943/60),0),"")</f>
        <v/>
      </c>
      <c r="W943" s="6">
        <f>IF(U943&lt;&gt;"",ROUND(N(K943)/U943*100,1),"")</f>
        <v/>
      </c>
    </row>
    <row r="944">
      <c r="A944" s="3" t="n"/>
      <c r="B944" s="4" t="n"/>
      <c r="C944" s="4" t="n"/>
      <c r="D944" s="5" t="n"/>
      <c r="E944" s="5" t="n"/>
      <c r="F944" s="6">
        <f>IF(AND(D944&lt;&gt;"",E944&lt;&gt;""),ROUND((E944-D944)*1440,0),"")</f>
        <v/>
      </c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6">
        <f>IF(C944="착유장",기준값!$B$3,IF(C944="건유·육성우동",기준값!$B$2,""))</f>
        <v/>
      </c>
      <c r="V944" s="6">
        <f>IF(AND(F944&lt;&gt;"",F944&gt;0,U944&lt;&gt;""),ROUND((U944-N(K944))/(F944/60),0),"")</f>
        <v/>
      </c>
      <c r="W944" s="6">
        <f>IF(U944&lt;&gt;"",ROUND(N(K944)/U944*100,1),"")</f>
        <v/>
      </c>
    </row>
    <row r="945">
      <c r="A945" s="3" t="n"/>
      <c r="B945" s="4" t="n"/>
      <c r="C945" s="4" t="n"/>
      <c r="D945" s="5" t="n"/>
      <c r="E945" s="5" t="n"/>
      <c r="F945" s="6">
        <f>IF(AND(D945&lt;&gt;"",E945&lt;&gt;""),ROUND((E945-D945)*1440,0),"")</f>
        <v/>
      </c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6">
        <f>IF(C945="착유장",기준값!$B$3,IF(C945="건유·육성우동",기준값!$B$2,""))</f>
        <v/>
      </c>
      <c r="V945" s="6">
        <f>IF(AND(F945&lt;&gt;"",F945&gt;0,U945&lt;&gt;""),ROUND((U945-N(K945))/(F945/60),0),"")</f>
        <v/>
      </c>
      <c r="W945" s="6">
        <f>IF(U945&lt;&gt;"",ROUND(N(K945)/U945*100,1),"")</f>
        <v/>
      </c>
    </row>
    <row r="946">
      <c r="A946" s="3" t="n"/>
      <c r="B946" s="4" t="n"/>
      <c r="C946" s="4" t="n"/>
      <c r="D946" s="5" t="n"/>
      <c r="E946" s="5" t="n"/>
      <c r="F946" s="6">
        <f>IF(AND(D946&lt;&gt;"",E946&lt;&gt;""),ROUND((E946-D946)*1440,0),"")</f>
        <v/>
      </c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6">
        <f>IF(C946="착유장",기준값!$B$3,IF(C946="건유·육성우동",기준값!$B$2,""))</f>
        <v/>
      </c>
      <c r="V946" s="6">
        <f>IF(AND(F946&lt;&gt;"",F946&gt;0,U946&lt;&gt;""),ROUND((U946-N(K946))/(F946/60),0),"")</f>
        <v/>
      </c>
      <c r="W946" s="6">
        <f>IF(U946&lt;&gt;"",ROUND(N(K946)/U946*100,1),"")</f>
        <v/>
      </c>
    </row>
    <row r="947">
      <c r="A947" s="3" t="n"/>
      <c r="B947" s="4" t="n"/>
      <c r="C947" s="4" t="n"/>
      <c r="D947" s="5" t="n"/>
      <c r="E947" s="5" t="n"/>
      <c r="F947" s="6">
        <f>IF(AND(D947&lt;&gt;"",E947&lt;&gt;""),ROUND((E947-D947)*1440,0),"")</f>
        <v/>
      </c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6">
        <f>IF(C947="착유장",기준값!$B$3,IF(C947="건유·육성우동",기준값!$B$2,""))</f>
        <v/>
      </c>
      <c r="V947" s="6">
        <f>IF(AND(F947&lt;&gt;"",F947&gt;0,U947&lt;&gt;""),ROUND((U947-N(K947))/(F947/60),0),"")</f>
        <v/>
      </c>
      <c r="W947" s="6">
        <f>IF(U947&lt;&gt;"",ROUND(N(K947)/U947*100,1),"")</f>
        <v/>
      </c>
    </row>
    <row r="948">
      <c r="A948" s="3" t="n"/>
      <c r="B948" s="4" t="n"/>
      <c r="C948" s="4" t="n"/>
      <c r="D948" s="5" t="n"/>
      <c r="E948" s="5" t="n"/>
      <c r="F948" s="6">
        <f>IF(AND(D948&lt;&gt;"",E948&lt;&gt;""),ROUND((E948-D948)*1440,0),"")</f>
        <v/>
      </c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6">
        <f>IF(C948="착유장",기준값!$B$3,IF(C948="건유·육성우동",기준값!$B$2,""))</f>
        <v/>
      </c>
      <c r="V948" s="6">
        <f>IF(AND(F948&lt;&gt;"",F948&gt;0,U948&lt;&gt;""),ROUND((U948-N(K948))/(F948/60),0),"")</f>
        <v/>
      </c>
      <c r="W948" s="6">
        <f>IF(U948&lt;&gt;"",ROUND(N(K948)/U948*100,1),"")</f>
        <v/>
      </c>
    </row>
    <row r="949">
      <c r="A949" s="3" t="n"/>
      <c r="B949" s="4" t="n"/>
      <c r="C949" s="4" t="n"/>
      <c r="D949" s="5" t="n"/>
      <c r="E949" s="5" t="n"/>
      <c r="F949" s="6">
        <f>IF(AND(D949&lt;&gt;"",E949&lt;&gt;""),ROUND((E949-D949)*1440,0),"")</f>
        <v/>
      </c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6">
        <f>IF(C949="착유장",기준값!$B$3,IF(C949="건유·육성우동",기준값!$B$2,""))</f>
        <v/>
      </c>
      <c r="V949" s="6">
        <f>IF(AND(F949&lt;&gt;"",F949&gt;0,U949&lt;&gt;""),ROUND((U949-N(K949))/(F949/60),0),"")</f>
        <v/>
      </c>
      <c r="W949" s="6">
        <f>IF(U949&lt;&gt;"",ROUND(N(K949)/U949*100,1),"")</f>
        <v/>
      </c>
    </row>
    <row r="950">
      <c r="A950" s="3" t="n"/>
      <c r="B950" s="4" t="n"/>
      <c r="C950" s="4" t="n"/>
      <c r="D950" s="5" t="n"/>
      <c r="E950" s="5" t="n"/>
      <c r="F950" s="6">
        <f>IF(AND(D950&lt;&gt;"",E950&lt;&gt;""),ROUND((E950-D950)*1440,0),"")</f>
        <v/>
      </c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6">
        <f>IF(C950="착유장",기준값!$B$3,IF(C950="건유·육성우동",기준값!$B$2,""))</f>
        <v/>
      </c>
      <c r="V950" s="6">
        <f>IF(AND(F950&lt;&gt;"",F950&gt;0,U950&lt;&gt;""),ROUND((U950-N(K950))/(F950/60),0),"")</f>
        <v/>
      </c>
      <c r="W950" s="6">
        <f>IF(U950&lt;&gt;"",ROUND(N(K950)/U950*100,1),"")</f>
        <v/>
      </c>
    </row>
    <row r="951">
      <c r="A951" s="3" t="n"/>
      <c r="B951" s="4" t="n"/>
      <c r="C951" s="4" t="n"/>
      <c r="D951" s="5" t="n"/>
      <c r="E951" s="5" t="n"/>
      <c r="F951" s="6">
        <f>IF(AND(D951&lt;&gt;"",E951&lt;&gt;""),ROUND((E951-D951)*1440,0),"")</f>
        <v/>
      </c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6">
        <f>IF(C951="착유장",기준값!$B$3,IF(C951="건유·육성우동",기준값!$B$2,""))</f>
        <v/>
      </c>
      <c r="V951" s="6">
        <f>IF(AND(F951&lt;&gt;"",F951&gt;0,U951&lt;&gt;""),ROUND((U951-N(K951))/(F951/60),0),"")</f>
        <v/>
      </c>
      <c r="W951" s="6">
        <f>IF(U951&lt;&gt;"",ROUND(N(K951)/U951*100,1),"")</f>
        <v/>
      </c>
    </row>
    <row r="952">
      <c r="A952" s="3" t="n"/>
      <c r="B952" s="4" t="n"/>
      <c r="C952" s="4" t="n"/>
      <c r="D952" s="5" t="n"/>
      <c r="E952" s="5" t="n"/>
      <c r="F952" s="6">
        <f>IF(AND(D952&lt;&gt;"",E952&lt;&gt;""),ROUND((E952-D952)*1440,0),"")</f>
        <v/>
      </c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6">
        <f>IF(C952="착유장",기준값!$B$3,IF(C952="건유·육성우동",기준값!$B$2,""))</f>
        <v/>
      </c>
      <c r="V952" s="6">
        <f>IF(AND(F952&lt;&gt;"",F952&gt;0,U952&lt;&gt;""),ROUND((U952-N(K952))/(F952/60),0),"")</f>
        <v/>
      </c>
      <c r="W952" s="6">
        <f>IF(U952&lt;&gt;"",ROUND(N(K952)/U952*100,1),"")</f>
        <v/>
      </c>
    </row>
    <row r="953">
      <c r="A953" s="3" t="n"/>
      <c r="B953" s="4" t="n"/>
      <c r="C953" s="4" t="n"/>
      <c r="D953" s="5" t="n"/>
      <c r="E953" s="5" t="n"/>
      <c r="F953" s="6">
        <f>IF(AND(D953&lt;&gt;"",E953&lt;&gt;""),ROUND((E953-D953)*1440,0),"")</f>
        <v/>
      </c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6">
        <f>IF(C953="착유장",기준값!$B$3,IF(C953="건유·육성우동",기준값!$B$2,""))</f>
        <v/>
      </c>
      <c r="V953" s="6">
        <f>IF(AND(F953&lt;&gt;"",F953&gt;0,U953&lt;&gt;""),ROUND((U953-N(K953))/(F953/60),0),"")</f>
        <v/>
      </c>
      <c r="W953" s="6">
        <f>IF(U953&lt;&gt;"",ROUND(N(K953)/U953*100,1),"")</f>
        <v/>
      </c>
    </row>
    <row r="954">
      <c r="A954" s="3" t="n"/>
      <c r="B954" s="4" t="n"/>
      <c r="C954" s="4" t="n"/>
      <c r="D954" s="5" t="n"/>
      <c r="E954" s="5" t="n"/>
      <c r="F954" s="6">
        <f>IF(AND(D954&lt;&gt;"",E954&lt;&gt;""),ROUND((E954-D954)*1440,0),"")</f>
        <v/>
      </c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6">
        <f>IF(C954="착유장",기준값!$B$3,IF(C954="건유·육성우동",기준값!$B$2,""))</f>
        <v/>
      </c>
      <c r="V954" s="6">
        <f>IF(AND(F954&lt;&gt;"",F954&gt;0,U954&lt;&gt;""),ROUND((U954-N(K954))/(F954/60),0),"")</f>
        <v/>
      </c>
      <c r="W954" s="6">
        <f>IF(U954&lt;&gt;"",ROUND(N(K954)/U954*100,1),"")</f>
        <v/>
      </c>
    </row>
    <row r="955">
      <c r="A955" s="3" t="n"/>
      <c r="B955" s="4" t="n"/>
      <c r="C955" s="4" t="n"/>
      <c r="D955" s="5" t="n"/>
      <c r="E955" s="5" t="n"/>
      <c r="F955" s="6">
        <f>IF(AND(D955&lt;&gt;"",E955&lt;&gt;""),ROUND((E955-D955)*1440,0),"")</f>
        <v/>
      </c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6">
        <f>IF(C955="착유장",기준값!$B$3,IF(C955="건유·육성우동",기준값!$B$2,""))</f>
        <v/>
      </c>
      <c r="V955" s="6">
        <f>IF(AND(F955&lt;&gt;"",F955&gt;0,U955&lt;&gt;""),ROUND((U955-N(K955))/(F955/60),0),"")</f>
        <v/>
      </c>
      <c r="W955" s="6">
        <f>IF(U955&lt;&gt;"",ROUND(N(K955)/U955*100,1),"")</f>
        <v/>
      </c>
    </row>
    <row r="956">
      <c r="A956" s="3" t="n"/>
      <c r="B956" s="4" t="n"/>
      <c r="C956" s="4" t="n"/>
      <c r="D956" s="5" t="n"/>
      <c r="E956" s="5" t="n"/>
      <c r="F956" s="6">
        <f>IF(AND(D956&lt;&gt;"",E956&lt;&gt;""),ROUND((E956-D956)*1440,0),"")</f>
        <v/>
      </c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6">
        <f>IF(C956="착유장",기준값!$B$3,IF(C956="건유·육성우동",기준값!$B$2,""))</f>
        <v/>
      </c>
      <c r="V956" s="6">
        <f>IF(AND(F956&lt;&gt;"",F956&gt;0,U956&lt;&gt;""),ROUND((U956-N(K956))/(F956/60),0),"")</f>
        <v/>
      </c>
      <c r="W956" s="6">
        <f>IF(U956&lt;&gt;"",ROUND(N(K956)/U956*100,1),"")</f>
        <v/>
      </c>
    </row>
    <row r="957">
      <c r="A957" s="3" t="n"/>
      <c r="B957" s="4" t="n"/>
      <c r="C957" s="4" t="n"/>
      <c r="D957" s="5" t="n"/>
      <c r="E957" s="5" t="n"/>
      <c r="F957" s="6">
        <f>IF(AND(D957&lt;&gt;"",E957&lt;&gt;""),ROUND((E957-D957)*1440,0),"")</f>
        <v/>
      </c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6">
        <f>IF(C957="착유장",기준값!$B$3,IF(C957="건유·육성우동",기준값!$B$2,""))</f>
        <v/>
      </c>
      <c r="V957" s="6">
        <f>IF(AND(F957&lt;&gt;"",F957&gt;0,U957&lt;&gt;""),ROUND((U957-N(K957))/(F957/60),0),"")</f>
        <v/>
      </c>
      <c r="W957" s="6">
        <f>IF(U957&lt;&gt;"",ROUND(N(K957)/U957*100,1),"")</f>
        <v/>
      </c>
    </row>
    <row r="958">
      <c r="A958" s="3" t="n"/>
      <c r="B958" s="4" t="n"/>
      <c r="C958" s="4" t="n"/>
      <c r="D958" s="5" t="n"/>
      <c r="E958" s="5" t="n"/>
      <c r="F958" s="6">
        <f>IF(AND(D958&lt;&gt;"",E958&lt;&gt;""),ROUND((E958-D958)*1440,0),"")</f>
        <v/>
      </c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6">
        <f>IF(C958="착유장",기준값!$B$3,IF(C958="건유·육성우동",기준값!$B$2,""))</f>
        <v/>
      </c>
      <c r="V958" s="6">
        <f>IF(AND(F958&lt;&gt;"",F958&gt;0,U958&lt;&gt;""),ROUND((U958-N(K958))/(F958/60),0),"")</f>
        <v/>
      </c>
      <c r="W958" s="6">
        <f>IF(U958&lt;&gt;"",ROUND(N(K958)/U958*100,1),"")</f>
        <v/>
      </c>
    </row>
    <row r="959">
      <c r="A959" s="3" t="n"/>
      <c r="B959" s="4" t="n"/>
      <c r="C959" s="4" t="n"/>
      <c r="D959" s="5" t="n"/>
      <c r="E959" s="5" t="n"/>
      <c r="F959" s="6">
        <f>IF(AND(D959&lt;&gt;"",E959&lt;&gt;""),ROUND((E959-D959)*1440,0),"")</f>
        <v/>
      </c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6">
        <f>IF(C959="착유장",기준값!$B$3,IF(C959="건유·육성우동",기준값!$B$2,""))</f>
        <v/>
      </c>
      <c r="V959" s="6">
        <f>IF(AND(F959&lt;&gt;"",F959&gt;0,U959&lt;&gt;""),ROUND((U959-N(K959))/(F959/60),0),"")</f>
        <v/>
      </c>
      <c r="W959" s="6">
        <f>IF(U959&lt;&gt;"",ROUND(N(K959)/U959*100,1),"")</f>
        <v/>
      </c>
    </row>
    <row r="960">
      <c r="A960" s="3" t="n"/>
      <c r="B960" s="4" t="n"/>
      <c r="C960" s="4" t="n"/>
      <c r="D960" s="5" t="n"/>
      <c r="E960" s="5" t="n"/>
      <c r="F960" s="6">
        <f>IF(AND(D960&lt;&gt;"",E960&lt;&gt;""),ROUND((E960-D960)*1440,0),"")</f>
        <v/>
      </c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6">
        <f>IF(C960="착유장",기준값!$B$3,IF(C960="건유·육성우동",기준값!$B$2,""))</f>
        <v/>
      </c>
      <c r="V960" s="6">
        <f>IF(AND(F960&lt;&gt;"",F960&gt;0,U960&lt;&gt;""),ROUND((U960-N(K960))/(F960/60),0),"")</f>
        <v/>
      </c>
      <c r="W960" s="6">
        <f>IF(U960&lt;&gt;"",ROUND(N(K960)/U960*100,1),"")</f>
        <v/>
      </c>
    </row>
    <row r="961">
      <c r="A961" s="3" t="n"/>
      <c r="B961" s="4" t="n"/>
      <c r="C961" s="4" t="n"/>
      <c r="D961" s="5" t="n"/>
      <c r="E961" s="5" t="n"/>
      <c r="F961" s="6">
        <f>IF(AND(D961&lt;&gt;"",E961&lt;&gt;""),ROUND((E961-D961)*1440,0),"")</f>
        <v/>
      </c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6">
        <f>IF(C961="착유장",기준값!$B$3,IF(C961="건유·육성우동",기준값!$B$2,""))</f>
        <v/>
      </c>
      <c r="V961" s="6">
        <f>IF(AND(F961&lt;&gt;"",F961&gt;0,U961&lt;&gt;""),ROUND((U961-N(K961))/(F961/60),0),"")</f>
        <v/>
      </c>
      <c r="W961" s="6">
        <f>IF(U961&lt;&gt;"",ROUND(N(K961)/U961*100,1),"")</f>
        <v/>
      </c>
    </row>
    <row r="962">
      <c r="A962" s="3" t="n"/>
      <c r="B962" s="4" t="n"/>
      <c r="C962" s="4" t="n"/>
      <c r="D962" s="5" t="n"/>
      <c r="E962" s="5" t="n"/>
      <c r="F962" s="6">
        <f>IF(AND(D962&lt;&gt;"",E962&lt;&gt;""),ROUND((E962-D962)*1440,0),"")</f>
        <v/>
      </c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6">
        <f>IF(C962="착유장",기준값!$B$3,IF(C962="건유·육성우동",기준값!$B$2,""))</f>
        <v/>
      </c>
      <c r="V962" s="6">
        <f>IF(AND(F962&lt;&gt;"",F962&gt;0,U962&lt;&gt;""),ROUND((U962-N(K962))/(F962/60),0),"")</f>
        <v/>
      </c>
      <c r="W962" s="6">
        <f>IF(U962&lt;&gt;"",ROUND(N(K962)/U962*100,1),"")</f>
        <v/>
      </c>
    </row>
    <row r="963">
      <c r="A963" s="3" t="n"/>
      <c r="B963" s="4" t="n"/>
      <c r="C963" s="4" t="n"/>
      <c r="D963" s="5" t="n"/>
      <c r="E963" s="5" t="n"/>
      <c r="F963" s="6">
        <f>IF(AND(D963&lt;&gt;"",E963&lt;&gt;""),ROUND((E963-D963)*1440,0),"")</f>
        <v/>
      </c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6">
        <f>IF(C963="착유장",기준값!$B$3,IF(C963="건유·육성우동",기준값!$B$2,""))</f>
        <v/>
      </c>
      <c r="V963" s="6">
        <f>IF(AND(F963&lt;&gt;"",F963&gt;0,U963&lt;&gt;""),ROUND((U963-N(K963))/(F963/60),0),"")</f>
        <v/>
      </c>
      <c r="W963" s="6">
        <f>IF(U963&lt;&gt;"",ROUND(N(K963)/U963*100,1),"")</f>
        <v/>
      </c>
    </row>
    <row r="964">
      <c r="A964" s="3" t="n"/>
      <c r="B964" s="4" t="n"/>
      <c r="C964" s="4" t="n"/>
      <c r="D964" s="5" t="n"/>
      <c r="E964" s="5" t="n"/>
      <c r="F964" s="6">
        <f>IF(AND(D964&lt;&gt;"",E964&lt;&gt;""),ROUND((E964-D964)*1440,0),"")</f>
        <v/>
      </c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6">
        <f>IF(C964="착유장",기준값!$B$3,IF(C964="건유·육성우동",기준값!$B$2,""))</f>
        <v/>
      </c>
      <c r="V964" s="6">
        <f>IF(AND(F964&lt;&gt;"",F964&gt;0,U964&lt;&gt;""),ROUND((U964-N(K964))/(F964/60),0),"")</f>
        <v/>
      </c>
      <c r="W964" s="6">
        <f>IF(U964&lt;&gt;"",ROUND(N(K964)/U964*100,1),"")</f>
        <v/>
      </c>
    </row>
    <row r="965">
      <c r="A965" s="3" t="n"/>
      <c r="B965" s="4" t="n"/>
      <c r="C965" s="4" t="n"/>
      <c r="D965" s="5" t="n"/>
      <c r="E965" s="5" t="n"/>
      <c r="F965" s="6">
        <f>IF(AND(D965&lt;&gt;"",E965&lt;&gt;""),ROUND((E965-D965)*1440,0),"")</f>
        <v/>
      </c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6">
        <f>IF(C965="착유장",기준값!$B$3,IF(C965="건유·육성우동",기준값!$B$2,""))</f>
        <v/>
      </c>
      <c r="V965" s="6">
        <f>IF(AND(F965&lt;&gt;"",F965&gt;0,U965&lt;&gt;""),ROUND((U965-N(K965))/(F965/60),0),"")</f>
        <v/>
      </c>
      <c r="W965" s="6">
        <f>IF(U965&lt;&gt;"",ROUND(N(K965)/U965*100,1),"")</f>
        <v/>
      </c>
    </row>
    <row r="966">
      <c r="A966" s="3" t="n"/>
      <c r="B966" s="4" t="n"/>
      <c r="C966" s="4" t="n"/>
      <c r="D966" s="5" t="n"/>
      <c r="E966" s="5" t="n"/>
      <c r="F966" s="6">
        <f>IF(AND(D966&lt;&gt;"",E966&lt;&gt;""),ROUND((E966-D966)*1440,0),"")</f>
        <v/>
      </c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6">
        <f>IF(C966="착유장",기준값!$B$3,IF(C966="건유·육성우동",기준값!$B$2,""))</f>
        <v/>
      </c>
      <c r="V966" s="6">
        <f>IF(AND(F966&lt;&gt;"",F966&gt;0,U966&lt;&gt;""),ROUND((U966-N(K966))/(F966/60),0),"")</f>
        <v/>
      </c>
      <c r="W966" s="6">
        <f>IF(U966&lt;&gt;"",ROUND(N(K966)/U966*100,1),"")</f>
        <v/>
      </c>
    </row>
    <row r="967">
      <c r="A967" s="3" t="n"/>
      <c r="B967" s="4" t="n"/>
      <c r="C967" s="4" t="n"/>
      <c r="D967" s="5" t="n"/>
      <c r="E967" s="5" t="n"/>
      <c r="F967" s="6">
        <f>IF(AND(D967&lt;&gt;"",E967&lt;&gt;""),ROUND((E967-D967)*1440,0),"")</f>
        <v/>
      </c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6">
        <f>IF(C967="착유장",기준값!$B$3,IF(C967="건유·육성우동",기준값!$B$2,""))</f>
        <v/>
      </c>
      <c r="V967" s="6">
        <f>IF(AND(F967&lt;&gt;"",F967&gt;0,U967&lt;&gt;""),ROUND((U967-N(K967))/(F967/60),0),"")</f>
        <v/>
      </c>
      <c r="W967" s="6">
        <f>IF(U967&lt;&gt;"",ROUND(N(K967)/U967*100,1),"")</f>
        <v/>
      </c>
    </row>
    <row r="968">
      <c r="A968" s="3" t="n"/>
      <c r="B968" s="4" t="n"/>
      <c r="C968" s="4" t="n"/>
      <c r="D968" s="5" t="n"/>
      <c r="E968" s="5" t="n"/>
      <c r="F968" s="6">
        <f>IF(AND(D968&lt;&gt;"",E968&lt;&gt;""),ROUND((E968-D968)*1440,0),"")</f>
        <v/>
      </c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6">
        <f>IF(C968="착유장",기준값!$B$3,IF(C968="건유·육성우동",기준값!$B$2,""))</f>
        <v/>
      </c>
      <c r="V968" s="6">
        <f>IF(AND(F968&lt;&gt;"",F968&gt;0,U968&lt;&gt;""),ROUND((U968-N(K968))/(F968/60),0),"")</f>
        <v/>
      </c>
      <c r="W968" s="6">
        <f>IF(U968&lt;&gt;"",ROUND(N(K968)/U968*100,1),"")</f>
        <v/>
      </c>
    </row>
    <row r="969">
      <c r="A969" s="3" t="n"/>
      <c r="B969" s="4" t="n"/>
      <c r="C969" s="4" t="n"/>
      <c r="D969" s="5" t="n"/>
      <c r="E969" s="5" t="n"/>
      <c r="F969" s="6">
        <f>IF(AND(D969&lt;&gt;"",E969&lt;&gt;""),ROUND((E969-D969)*1440,0),"")</f>
        <v/>
      </c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6">
        <f>IF(C969="착유장",기준값!$B$3,IF(C969="건유·육성우동",기준값!$B$2,""))</f>
        <v/>
      </c>
      <c r="V969" s="6">
        <f>IF(AND(F969&lt;&gt;"",F969&gt;0,U969&lt;&gt;""),ROUND((U969-N(K969))/(F969/60),0),"")</f>
        <v/>
      </c>
      <c r="W969" s="6">
        <f>IF(U969&lt;&gt;"",ROUND(N(K969)/U969*100,1),"")</f>
        <v/>
      </c>
    </row>
    <row r="970">
      <c r="A970" s="3" t="n"/>
      <c r="B970" s="4" t="n"/>
      <c r="C970" s="4" t="n"/>
      <c r="D970" s="5" t="n"/>
      <c r="E970" s="5" t="n"/>
      <c r="F970" s="6">
        <f>IF(AND(D970&lt;&gt;"",E970&lt;&gt;""),ROUND((E970-D970)*1440,0),"")</f>
        <v/>
      </c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6">
        <f>IF(C970="착유장",기준값!$B$3,IF(C970="건유·육성우동",기준값!$B$2,""))</f>
        <v/>
      </c>
      <c r="V970" s="6">
        <f>IF(AND(F970&lt;&gt;"",F970&gt;0,U970&lt;&gt;""),ROUND((U970-N(K970))/(F970/60),0),"")</f>
        <v/>
      </c>
      <c r="W970" s="6">
        <f>IF(U970&lt;&gt;"",ROUND(N(K970)/U970*100,1),"")</f>
        <v/>
      </c>
    </row>
    <row r="971">
      <c r="A971" s="3" t="n"/>
      <c r="B971" s="4" t="n"/>
      <c r="C971" s="4" t="n"/>
      <c r="D971" s="5" t="n"/>
      <c r="E971" s="5" t="n"/>
      <c r="F971" s="6">
        <f>IF(AND(D971&lt;&gt;"",E971&lt;&gt;""),ROUND((E971-D971)*1440,0),"")</f>
        <v/>
      </c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6">
        <f>IF(C971="착유장",기준값!$B$3,IF(C971="건유·육성우동",기준값!$B$2,""))</f>
        <v/>
      </c>
      <c r="V971" s="6">
        <f>IF(AND(F971&lt;&gt;"",F971&gt;0,U971&lt;&gt;""),ROUND((U971-N(K971))/(F971/60),0),"")</f>
        <v/>
      </c>
      <c r="W971" s="6">
        <f>IF(U971&lt;&gt;"",ROUND(N(K971)/U971*100,1),"")</f>
        <v/>
      </c>
    </row>
    <row r="972">
      <c r="A972" s="3" t="n"/>
      <c r="B972" s="4" t="n"/>
      <c r="C972" s="4" t="n"/>
      <c r="D972" s="5" t="n"/>
      <c r="E972" s="5" t="n"/>
      <c r="F972" s="6">
        <f>IF(AND(D972&lt;&gt;"",E972&lt;&gt;""),ROUND((E972-D972)*1440,0),"")</f>
        <v/>
      </c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6">
        <f>IF(C972="착유장",기준값!$B$3,IF(C972="건유·육성우동",기준값!$B$2,""))</f>
        <v/>
      </c>
      <c r="V972" s="6">
        <f>IF(AND(F972&lt;&gt;"",F972&gt;0,U972&lt;&gt;""),ROUND((U972-N(K972))/(F972/60),0),"")</f>
        <v/>
      </c>
      <c r="W972" s="6">
        <f>IF(U972&lt;&gt;"",ROUND(N(K972)/U972*100,1),"")</f>
        <v/>
      </c>
    </row>
    <row r="973">
      <c r="A973" s="3" t="n"/>
      <c r="B973" s="4" t="n"/>
      <c r="C973" s="4" t="n"/>
      <c r="D973" s="5" t="n"/>
      <c r="E973" s="5" t="n"/>
      <c r="F973" s="6">
        <f>IF(AND(D973&lt;&gt;"",E973&lt;&gt;""),ROUND((E973-D973)*1440,0),"")</f>
        <v/>
      </c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6">
        <f>IF(C973="착유장",기준값!$B$3,IF(C973="건유·육성우동",기준값!$B$2,""))</f>
        <v/>
      </c>
      <c r="V973" s="6">
        <f>IF(AND(F973&lt;&gt;"",F973&gt;0,U973&lt;&gt;""),ROUND((U973-N(K973))/(F973/60),0),"")</f>
        <v/>
      </c>
      <c r="W973" s="6">
        <f>IF(U973&lt;&gt;"",ROUND(N(K973)/U973*100,1),"")</f>
        <v/>
      </c>
    </row>
    <row r="974">
      <c r="A974" s="3" t="n"/>
      <c r="B974" s="4" t="n"/>
      <c r="C974" s="4" t="n"/>
      <c r="D974" s="5" t="n"/>
      <c r="E974" s="5" t="n"/>
      <c r="F974" s="6">
        <f>IF(AND(D974&lt;&gt;"",E974&lt;&gt;""),ROUND((E974-D974)*1440,0),"")</f>
        <v/>
      </c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6">
        <f>IF(C974="착유장",기준값!$B$3,IF(C974="건유·육성우동",기준값!$B$2,""))</f>
        <v/>
      </c>
      <c r="V974" s="6">
        <f>IF(AND(F974&lt;&gt;"",F974&gt;0,U974&lt;&gt;""),ROUND((U974-N(K974))/(F974/60),0),"")</f>
        <v/>
      </c>
      <c r="W974" s="6">
        <f>IF(U974&lt;&gt;"",ROUND(N(K974)/U974*100,1),"")</f>
        <v/>
      </c>
    </row>
    <row r="975">
      <c r="A975" s="3" t="n"/>
      <c r="B975" s="4" t="n"/>
      <c r="C975" s="4" t="n"/>
      <c r="D975" s="5" t="n"/>
      <c r="E975" s="5" t="n"/>
      <c r="F975" s="6">
        <f>IF(AND(D975&lt;&gt;"",E975&lt;&gt;""),ROUND((E975-D975)*1440,0),"")</f>
        <v/>
      </c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6">
        <f>IF(C975="착유장",기준값!$B$3,IF(C975="건유·육성우동",기준값!$B$2,""))</f>
        <v/>
      </c>
      <c r="V975" s="6">
        <f>IF(AND(F975&lt;&gt;"",F975&gt;0,U975&lt;&gt;""),ROUND((U975-N(K975))/(F975/60),0),"")</f>
        <v/>
      </c>
      <c r="W975" s="6">
        <f>IF(U975&lt;&gt;"",ROUND(N(K975)/U975*100,1),"")</f>
        <v/>
      </c>
    </row>
    <row r="976">
      <c r="A976" s="3" t="n"/>
      <c r="B976" s="4" t="n"/>
      <c r="C976" s="4" t="n"/>
      <c r="D976" s="5" t="n"/>
      <c r="E976" s="5" t="n"/>
      <c r="F976" s="6">
        <f>IF(AND(D976&lt;&gt;"",E976&lt;&gt;""),ROUND((E976-D976)*1440,0),"")</f>
        <v/>
      </c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6">
        <f>IF(C976="착유장",기준값!$B$3,IF(C976="건유·육성우동",기준값!$B$2,""))</f>
        <v/>
      </c>
      <c r="V976" s="6">
        <f>IF(AND(F976&lt;&gt;"",F976&gt;0,U976&lt;&gt;""),ROUND((U976-N(K976))/(F976/60),0),"")</f>
        <v/>
      </c>
      <c r="W976" s="6">
        <f>IF(U976&lt;&gt;"",ROUND(N(K976)/U976*100,1),"")</f>
        <v/>
      </c>
    </row>
    <row r="977">
      <c r="A977" s="3" t="n"/>
      <c r="B977" s="4" t="n"/>
      <c r="C977" s="4" t="n"/>
      <c r="D977" s="5" t="n"/>
      <c r="E977" s="5" t="n"/>
      <c r="F977" s="6">
        <f>IF(AND(D977&lt;&gt;"",E977&lt;&gt;""),ROUND((E977-D977)*1440,0),"")</f>
        <v/>
      </c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6">
        <f>IF(C977="착유장",기준값!$B$3,IF(C977="건유·육성우동",기준값!$B$2,""))</f>
        <v/>
      </c>
      <c r="V977" s="6">
        <f>IF(AND(F977&lt;&gt;"",F977&gt;0,U977&lt;&gt;""),ROUND((U977-N(K977))/(F977/60),0),"")</f>
        <v/>
      </c>
      <c r="W977" s="6">
        <f>IF(U977&lt;&gt;"",ROUND(N(K977)/U977*100,1),"")</f>
        <v/>
      </c>
    </row>
    <row r="978">
      <c r="A978" s="3" t="n"/>
      <c r="B978" s="4" t="n"/>
      <c r="C978" s="4" t="n"/>
      <c r="D978" s="5" t="n"/>
      <c r="E978" s="5" t="n"/>
      <c r="F978" s="6">
        <f>IF(AND(D978&lt;&gt;"",E978&lt;&gt;""),ROUND((E978-D978)*1440,0),"")</f>
        <v/>
      </c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6">
        <f>IF(C978="착유장",기준값!$B$3,IF(C978="건유·육성우동",기준값!$B$2,""))</f>
        <v/>
      </c>
      <c r="V978" s="6">
        <f>IF(AND(F978&lt;&gt;"",F978&gt;0,U978&lt;&gt;""),ROUND((U978-N(K978))/(F978/60),0),"")</f>
        <v/>
      </c>
      <c r="W978" s="6">
        <f>IF(U978&lt;&gt;"",ROUND(N(K978)/U978*100,1),"")</f>
        <v/>
      </c>
    </row>
    <row r="979">
      <c r="A979" s="3" t="n"/>
      <c r="B979" s="4" t="n"/>
      <c r="C979" s="4" t="n"/>
      <c r="D979" s="5" t="n"/>
      <c r="E979" s="5" t="n"/>
      <c r="F979" s="6">
        <f>IF(AND(D979&lt;&gt;"",E979&lt;&gt;""),ROUND((E979-D979)*1440,0),"")</f>
        <v/>
      </c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6">
        <f>IF(C979="착유장",기준값!$B$3,IF(C979="건유·육성우동",기준값!$B$2,""))</f>
        <v/>
      </c>
      <c r="V979" s="6">
        <f>IF(AND(F979&lt;&gt;"",F979&gt;0,U979&lt;&gt;""),ROUND((U979-N(K979))/(F979/60),0),"")</f>
        <v/>
      </c>
      <c r="W979" s="6">
        <f>IF(U979&lt;&gt;"",ROUND(N(K979)/U979*100,1),"")</f>
        <v/>
      </c>
    </row>
    <row r="980">
      <c r="A980" s="3" t="n"/>
      <c r="B980" s="4" t="n"/>
      <c r="C980" s="4" t="n"/>
      <c r="D980" s="5" t="n"/>
      <c r="E980" s="5" t="n"/>
      <c r="F980" s="6">
        <f>IF(AND(D980&lt;&gt;"",E980&lt;&gt;""),ROUND((E980-D980)*1440,0),"")</f>
        <v/>
      </c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6">
        <f>IF(C980="착유장",기준값!$B$3,IF(C980="건유·육성우동",기준값!$B$2,""))</f>
        <v/>
      </c>
      <c r="V980" s="6">
        <f>IF(AND(F980&lt;&gt;"",F980&gt;0,U980&lt;&gt;""),ROUND((U980-N(K980))/(F980/60),0),"")</f>
        <v/>
      </c>
      <c r="W980" s="6">
        <f>IF(U980&lt;&gt;"",ROUND(N(K980)/U980*100,1),"")</f>
        <v/>
      </c>
    </row>
    <row r="981">
      <c r="A981" s="3" t="n"/>
      <c r="B981" s="4" t="n"/>
      <c r="C981" s="4" t="n"/>
      <c r="D981" s="5" t="n"/>
      <c r="E981" s="5" t="n"/>
      <c r="F981" s="6">
        <f>IF(AND(D981&lt;&gt;"",E981&lt;&gt;""),ROUND((E981-D981)*1440,0),"")</f>
        <v/>
      </c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6">
        <f>IF(C981="착유장",기준값!$B$3,IF(C981="건유·육성우동",기준값!$B$2,""))</f>
        <v/>
      </c>
      <c r="V981" s="6">
        <f>IF(AND(F981&lt;&gt;"",F981&gt;0,U981&lt;&gt;""),ROUND((U981-N(K981))/(F981/60),0),"")</f>
        <v/>
      </c>
      <c r="W981" s="6">
        <f>IF(U981&lt;&gt;"",ROUND(N(K981)/U981*100,1),"")</f>
        <v/>
      </c>
    </row>
    <row r="982">
      <c r="A982" s="3" t="n"/>
      <c r="B982" s="4" t="n"/>
      <c r="C982" s="4" t="n"/>
      <c r="D982" s="5" t="n"/>
      <c r="E982" s="5" t="n"/>
      <c r="F982" s="6">
        <f>IF(AND(D982&lt;&gt;"",E982&lt;&gt;""),ROUND((E982-D982)*1440,0),"")</f>
        <v/>
      </c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6">
        <f>IF(C982="착유장",기준값!$B$3,IF(C982="건유·육성우동",기준값!$B$2,""))</f>
        <v/>
      </c>
      <c r="V982" s="6">
        <f>IF(AND(F982&lt;&gt;"",F982&gt;0,U982&lt;&gt;""),ROUND((U982-N(K982))/(F982/60),0),"")</f>
        <v/>
      </c>
      <c r="W982" s="6">
        <f>IF(U982&lt;&gt;"",ROUND(N(K982)/U982*100,1),"")</f>
        <v/>
      </c>
    </row>
    <row r="983">
      <c r="A983" s="3" t="n"/>
      <c r="B983" s="4" t="n"/>
      <c r="C983" s="4" t="n"/>
      <c r="D983" s="5" t="n"/>
      <c r="E983" s="5" t="n"/>
      <c r="F983" s="6">
        <f>IF(AND(D983&lt;&gt;"",E983&lt;&gt;""),ROUND((E983-D983)*1440,0),"")</f>
        <v/>
      </c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6">
        <f>IF(C983="착유장",기준값!$B$3,IF(C983="건유·육성우동",기준값!$B$2,""))</f>
        <v/>
      </c>
      <c r="V983" s="6">
        <f>IF(AND(F983&lt;&gt;"",F983&gt;0,U983&lt;&gt;""),ROUND((U983-N(K983))/(F983/60),0),"")</f>
        <v/>
      </c>
      <c r="W983" s="6">
        <f>IF(U983&lt;&gt;"",ROUND(N(K983)/U983*100,1),"")</f>
        <v/>
      </c>
    </row>
    <row r="984">
      <c r="A984" s="3" t="n"/>
      <c r="B984" s="4" t="n"/>
      <c r="C984" s="4" t="n"/>
      <c r="D984" s="5" t="n"/>
      <c r="E984" s="5" t="n"/>
      <c r="F984" s="6">
        <f>IF(AND(D984&lt;&gt;"",E984&lt;&gt;""),ROUND((E984-D984)*1440,0),"")</f>
        <v/>
      </c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6">
        <f>IF(C984="착유장",기준값!$B$3,IF(C984="건유·육성우동",기준값!$B$2,""))</f>
        <v/>
      </c>
      <c r="V984" s="6">
        <f>IF(AND(F984&lt;&gt;"",F984&gt;0,U984&lt;&gt;""),ROUND((U984-N(K984))/(F984/60),0),"")</f>
        <v/>
      </c>
      <c r="W984" s="6">
        <f>IF(U984&lt;&gt;"",ROUND(N(K984)/U984*100,1),"")</f>
        <v/>
      </c>
    </row>
    <row r="985">
      <c r="A985" s="3" t="n"/>
      <c r="B985" s="4" t="n"/>
      <c r="C985" s="4" t="n"/>
      <c r="D985" s="5" t="n"/>
      <c r="E985" s="5" t="n"/>
      <c r="F985" s="6">
        <f>IF(AND(D985&lt;&gt;"",E985&lt;&gt;""),ROUND((E985-D985)*1440,0),"")</f>
        <v/>
      </c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6">
        <f>IF(C985="착유장",기준값!$B$3,IF(C985="건유·육성우동",기준값!$B$2,""))</f>
        <v/>
      </c>
      <c r="V985" s="6">
        <f>IF(AND(F985&lt;&gt;"",F985&gt;0,U985&lt;&gt;""),ROUND((U985-N(K985))/(F985/60),0),"")</f>
        <v/>
      </c>
      <c r="W985" s="6">
        <f>IF(U985&lt;&gt;"",ROUND(N(K985)/U985*100,1),"")</f>
        <v/>
      </c>
    </row>
    <row r="986">
      <c r="A986" s="3" t="n"/>
      <c r="B986" s="4" t="n"/>
      <c r="C986" s="4" t="n"/>
      <c r="D986" s="5" t="n"/>
      <c r="E986" s="5" t="n"/>
      <c r="F986" s="6">
        <f>IF(AND(D986&lt;&gt;"",E986&lt;&gt;""),ROUND((E986-D986)*1440,0),"")</f>
        <v/>
      </c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6">
        <f>IF(C986="착유장",기준값!$B$3,IF(C986="건유·육성우동",기준값!$B$2,""))</f>
        <v/>
      </c>
      <c r="V986" s="6">
        <f>IF(AND(F986&lt;&gt;"",F986&gt;0,U986&lt;&gt;""),ROUND((U986-N(K986))/(F986/60),0),"")</f>
        <v/>
      </c>
      <c r="W986" s="6">
        <f>IF(U986&lt;&gt;"",ROUND(N(K986)/U986*100,1),"")</f>
        <v/>
      </c>
    </row>
    <row r="987">
      <c r="A987" s="3" t="n"/>
      <c r="B987" s="4" t="n"/>
      <c r="C987" s="4" t="n"/>
      <c r="D987" s="5" t="n"/>
      <c r="E987" s="5" t="n"/>
      <c r="F987" s="6">
        <f>IF(AND(D987&lt;&gt;"",E987&lt;&gt;""),ROUND((E987-D987)*1440,0),"")</f>
        <v/>
      </c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6">
        <f>IF(C987="착유장",기준값!$B$3,IF(C987="건유·육성우동",기준값!$B$2,""))</f>
        <v/>
      </c>
      <c r="V987" s="6">
        <f>IF(AND(F987&lt;&gt;"",F987&gt;0,U987&lt;&gt;""),ROUND((U987-N(K987))/(F987/60),0),"")</f>
        <v/>
      </c>
      <c r="W987" s="6">
        <f>IF(U987&lt;&gt;"",ROUND(N(K987)/U987*100,1),"")</f>
        <v/>
      </c>
    </row>
    <row r="988">
      <c r="A988" s="3" t="n"/>
      <c r="B988" s="4" t="n"/>
      <c r="C988" s="4" t="n"/>
      <c r="D988" s="5" t="n"/>
      <c r="E988" s="5" t="n"/>
      <c r="F988" s="6">
        <f>IF(AND(D988&lt;&gt;"",E988&lt;&gt;""),ROUND((E988-D988)*1440,0),"")</f>
        <v/>
      </c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6">
        <f>IF(C988="착유장",기준값!$B$3,IF(C988="건유·육성우동",기준값!$B$2,""))</f>
        <v/>
      </c>
      <c r="V988" s="6">
        <f>IF(AND(F988&lt;&gt;"",F988&gt;0,U988&lt;&gt;""),ROUND((U988-N(K988))/(F988/60),0),"")</f>
        <v/>
      </c>
      <c r="W988" s="6">
        <f>IF(U988&lt;&gt;"",ROUND(N(K988)/U988*100,1),"")</f>
        <v/>
      </c>
    </row>
    <row r="989">
      <c r="A989" s="3" t="n"/>
      <c r="B989" s="4" t="n"/>
      <c r="C989" s="4" t="n"/>
      <c r="D989" s="5" t="n"/>
      <c r="E989" s="5" t="n"/>
      <c r="F989" s="6">
        <f>IF(AND(D989&lt;&gt;"",E989&lt;&gt;""),ROUND((E989-D989)*1440,0),"")</f>
        <v/>
      </c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6">
        <f>IF(C989="착유장",기준값!$B$3,IF(C989="건유·육성우동",기준값!$B$2,""))</f>
        <v/>
      </c>
      <c r="V989" s="6">
        <f>IF(AND(F989&lt;&gt;"",F989&gt;0,U989&lt;&gt;""),ROUND((U989-N(K989))/(F989/60),0),"")</f>
        <v/>
      </c>
      <c r="W989" s="6">
        <f>IF(U989&lt;&gt;"",ROUND(N(K989)/U989*100,1),"")</f>
        <v/>
      </c>
    </row>
    <row r="990">
      <c r="A990" s="3" t="n"/>
      <c r="B990" s="4" t="n"/>
      <c r="C990" s="4" t="n"/>
      <c r="D990" s="5" t="n"/>
      <c r="E990" s="5" t="n"/>
      <c r="F990" s="6">
        <f>IF(AND(D990&lt;&gt;"",E990&lt;&gt;""),ROUND((E990-D990)*1440,0),"")</f>
        <v/>
      </c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6">
        <f>IF(C990="착유장",기준값!$B$3,IF(C990="건유·육성우동",기준값!$B$2,""))</f>
        <v/>
      </c>
      <c r="V990" s="6">
        <f>IF(AND(F990&lt;&gt;"",F990&gt;0,U990&lt;&gt;""),ROUND((U990-N(K990))/(F990/60),0),"")</f>
        <v/>
      </c>
      <c r="W990" s="6">
        <f>IF(U990&lt;&gt;"",ROUND(N(K990)/U990*100,1),"")</f>
        <v/>
      </c>
    </row>
    <row r="991">
      <c r="A991" s="3" t="n"/>
      <c r="B991" s="4" t="n"/>
      <c r="C991" s="4" t="n"/>
      <c r="D991" s="5" t="n"/>
      <c r="E991" s="5" t="n"/>
      <c r="F991" s="6">
        <f>IF(AND(D991&lt;&gt;"",E991&lt;&gt;""),ROUND((E991-D991)*1440,0),"")</f>
        <v/>
      </c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6">
        <f>IF(C991="착유장",기준값!$B$3,IF(C991="건유·육성우동",기준값!$B$2,""))</f>
        <v/>
      </c>
      <c r="V991" s="6">
        <f>IF(AND(F991&lt;&gt;"",F991&gt;0,U991&lt;&gt;""),ROUND((U991-N(K991))/(F991/60),0),"")</f>
        <v/>
      </c>
      <c r="W991" s="6">
        <f>IF(U991&lt;&gt;"",ROUND(N(K991)/U991*100,1),"")</f>
        <v/>
      </c>
    </row>
    <row r="992">
      <c r="A992" s="3" t="n"/>
      <c r="B992" s="4" t="n"/>
      <c r="C992" s="4" t="n"/>
      <c r="D992" s="5" t="n"/>
      <c r="E992" s="5" t="n"/>
      <c r="F992" s="6">
        <f>IF(AND(D992&lt;&gt;"",E992&lt;&gt;""),ROUND((E992-D992)*1440,0),"")</f>
        <v/>
      </c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6">
        <f>IF(C992="착유장",기준값!$B$3,IF(C992="건유·육성우동",기준값!$B$2,""))</f>
        <v/>
      </c>
      <c r="V992" s="6">
        <f>IF(AND(F992&lt;&gt;"",F992&gt;0,U992&lt;&gt;""),ROUND((U992-N(K992))/(F992/60),0),"")</f>
        <v/>
      </c>
      <c r="W992" s="6">
        <f>IF(U992&lt;&gt;"",ROUND(N(K992)/U992*100,1),"")</f>
        <v/>
      </c>
    </row>
    <row r="993">
      <c r="A993" s="3" t="n"/>
      <c r="B993" s="4" t="n"/>
      <c r="C993" s="4" t="n"/>
      <c r="D993" s="5" t="n"/>
      <c r="E993" s="5" t="n"/>
      <c r="F993" s="6">
        <f>IF(AND(D993&lt;&gt;"",E993&lt;&gt;""),ROUND((E993-D993)*1440,0),"")</f>
        <v/>
      </c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6">
        <f>IF(C993="착유장",기준값!$B$3,IF(C993="건유·육성우동",기준값!$B$2,""))</f>
        <v/>
      </c>
      <c r="V993" s="6">
        <f>IF(AND(F993&lt;&gt;"",F993&gt;0,U993&lt;&gt;""),ROUND((U993-N(K993))/(F993/60),0),"")</f>
        <v/>
      </c>
      <c r="W993" s="6">
        <f>IF(U993&lt;&gt;"",ROUND(N(K993)/U993*100,1),"")</f>
        <v/>
      </c>
    </row>
    <row r="994">
      <c r="A994" s="3" t="n"/>
      <c r="B994" s="4" t="n"/>
      <c r="C994" s="4" t="n"/>
      <c r="D994" s="5" t="n"/>
      <c r="E994" s="5" t="n"/>
      <c r="F994" s="6">
        <f>IF(AND(D994&lt;&gt;"",E994&lt;&gt;""),ROUND((E994-D994)*1440,0),"")</f>
        <v/>
      </c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6">
        <f>IF(C994="착유장",기준값!$B$3,IF(C994="건유·육성우동",기준값!$B$2,""))</f>
        <v/>
      </c>
      <c r="V994" s="6">
        <f>IF(AND(F994&lt;&gt;"",F994&gt;0,U994&lt;&gt;""),ROUND((U994-N(K994))/(F994/60),0),"")</f>
        <v/>
      </c>
      <c r="W994" s="6">
        <f>IF(U994&lt;&gt;"",ROUND(N(K994)/U994*100,1),"")</f>
        <v/>
      </c>
    </row>
    <row r="995">
      <c r="A995" s="3" t="n"/>
      <c r="B995" s="4" t="n"/>
      <c r="C995" s="4" t="n"/>
      <c r="D995" s="5" t="n"/>
      <c r="E995" s="5" t="n"/>
      <c r="F995" s="6">
        <f>IF(AND(D995&lt;&gt;"",E995&lt;&gt;""),ROUND((E995-D995)*1440,0),"")</f>
        <v/>
      </c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6">
        <f>IF(C995="착유장",기준값!$B$3,IF(C995="건유·육성우동",기준값!$B$2,""))</f>
        <v/>
      </c>
      <c r="V995" s="6">
        <f>IF(AND(F995&lt;&gt;"",F995&gt;0,U995&lt;&gt;""),ROUND((U995-N(K995))/(F995/60),0),"")</f>
        <v/>
      </c>
      <c r="W995" s="6">
        <f>IF(U995&lt;&gt;"",ROUND(N(K995)/U995*100,1),"")</f>
        <v/>
      </c>
    </row>
    <row r="996">
      <c r="A996" s="3" t="n"/>
      <c r="B996" s="4" t="n"/>
      <c r="C996" s="4" t="n"/>
      <c r="D996" s="5" t="n"/>
      <c r="E996" s="5" t="n"/>
      <c r="F996" s="6">
        <f>IF(AND(D996&lt;&gt;"",E996&lt;&gt;""),ROUND((E996-D996)*1440,0),"")</f>
        <v/>
      </c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6">
        <f>IF(C996="착유장",기준값!$B$3,IF(C996="건유·육성우동",기준값!$B$2,""))</f>
        <v/>
      </c>
      <c r="V996" s="6">
        <f>IF(AND(F996&lt;&gt;"",F996&gt;0,U996&lt;&gt;""),ROUND((U996-N(K996))/(F996/60),0),"")</f>
        <v/>
      </c>
      <c r="W996" s="6">
        <f>IF(U996&lt;&gt;"",ROUND(N(K996)/U996*100,1),"")</f>
        <v/>
      </c>
    </row>
    <row r="997">
      <c r="A997" s="3" t="n"/>
      <c r="B997" s="4" t="n"/>
      <c r="C997" s="4" t="n"/>
      <c r="D997" s="5" t="n"/>
      <c r="E997" s="5" t="n"/>
      <c r="F997" s="6">
        <f>IF(AND(D997&lt;&gt;"",E997&lt;&gt;""),ROUND((E997-D997)*1440,0),"")</f>
        <v/>
      </c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6">
        <f>IF(C997="착유장",기준값!$B$3,IF(C997="건유·육성우동",기준값!$B$2,""))</f>
        <v/>
      </c>
      <c r="V997" s="6">
        <f>IF(AND(F997&lt;&gt;"",F997&gt;0,U997&lt;&gt;""),ROUND((U997-N(K997))/(F997/60),0),"")</f>
        <v/>
      </c>
      <c r="W997" s="6">
        <f>IF(U997&lt;&gt;"",ROUND(N(K997)/U997*100,1),"")</f>
        <v/>
      </c>
    </row>
    <row r="998">
      <c r="A998" s="3" t="n"/>
      <c r="B998" s="4" t="n"/>
      <c r="C998" s="4" t="n"/>
      <c r="D998" s="5" t="n"/>
      <c r="E998" s="5" t="n"/>
      <c r="F998" s="6">
        <f>IF(AND(D998&lt;&gt;"",E998&lt;&gt;""),ROUND((E998-D998)*1440,0),"")</f>
        <v/>
      </c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6">
        <f>IF(C998="착유장",기준값!$B$3,IF(C998="건유·육성우동",기준값!$B$2,""))</f>
        <v/>
      </c>
      <c r="V998" s="6">
        <f>IF(AND(F998&lt;&gt;"",F998&gt;0,U998&lt;&gt;""),ROUND((U998-N(K998))/(F998/60),0),"")</f>
        <v/>
      </c>
      <c r="W998" s="6">
        <f>IF(U998&lt;&gt;"",ROUND(N(K998)/U998*100,1),"")</f>
        <v/>
      </c>
    </row>
    <row r="999">
      <c r="A999" s="3" t="n"/>
      <c r="B999" s="4" t="n"/>
      <c r="C999" s="4" t="n"/>
      <c r="D999" s="5" t="n"/>
      <c r="E999" s="5" t="n"/>
      <c r="F999" s="6">
        <f>IF(AND(D999&lt;&gt;"",E999&lt;&gt;""),ROUND((E999-D999)*1440,0),"")</f>
        <v/>
      </c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6">
        <f>IF(C999="착유장",기준값!$B$3,IF(C999="건유·육성우동",기준값!$B$2,""))</f>
        <v/>
      </c>
      <c r="V999" s="6">
        <f>IF(AND(F999&lt;&gt;"",F999&gt;0,U999&lt;&gt;""),ROUND((U999-N(K999))/(F999/60),0),"")</f>
        <v/>
      </c>
      <c r="W999" s="6">
        <f>IF(U999&lt;&gt;"",ROUND(N(K999)/U999*100,1),"")</f>
        <v/>
      </c>
    </row>
    <row r="1000">
      <c r="A1000" s="3" t="n"/>
      <c r="B1000" s="4" t="n"/>
      <c r="C1000" s="4" t="n"/>
      <c r="D1000" s="5" t="n"/>
      <c r="E1000" s="5" t="n"/>
      <c r="F1000" s="6">
        <f>IF(AND(D1000&lt;&gt;"",E1000&lt;&gt;""),ROUND((E1000-D1000)*1440,0),"")</f>
        <v/>
      </c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6">
        <f>IF(C1000="착유장",기준값!$B$3,IF(C1000="건유·육성우동",기준값!$B$2,""))</f>
        <v/>
      </c>
      <c r="V1000" s="6">
        <f>IF(AND(F1000&lt;&gt;"",F1000&gt;0,U1000&lt;&gt;""),ROUND((U1000-N(K1000))/(F1000/60),0),"")</f>
        <v/>
      </c>
      <c r="W1000" s="6">
        <f>IF(U1000&lt;&gt;"",ROUND(N(K1000)/U1000*100,1),"")</f>
        <v/>
      </c>
    </row>
    <row r="1001">
      <c r="A1001" s="3" t="n"/>
      <c r="B1001" s="4" t="n"/>
      <c r="C1001" s="4" t="n"/>
      <c r="D1001" s="5" t="n"/>
      <c r="E1001" s="5" t="n"/>
      <c r="F1001" s="6">
        <f>IF(AND(D1001&lt;&gt;"",E1001&lt;&gt;""),ROUND((E1001-D1001)*1440,0),"")</f>
        <v/>
      </c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6">
        <f>IF(C1001="착유장",기준값!$B$3,IF(C1001="건유·육성우동",기준값!$B$2,""))</f>
        <v/>
      </c>
      <c r="V1001" s="6">
        <f>IF(AND(F1001&lt;&gt;"",F1001&gt;0,U1001&lt;&gt;""),ROUND((U1001-N(K1001))/(F1001/60),0),"")</f>
        <v/>
      </c>
      <c r="W1001" s="6">
        <f>IF(U1001&lt;&gt;"",ROUND(N(K1001)/U1001*100,1),"")</f>
        <v/>
      </c>
    </row>
    <row r="1002">
      <c r="A1002" s="3" t="n"/>
      <c r="B1002" s="4" t="n"/>
      <c r="C1002" s="4" t="n"/>
      <c r="D1002" s="5" t="n"/>
      <c r="E1002" s="5" t="n"/>
      <c r="F1002" s="6">
        <f>IF(AND(D1002&lt;&gt;"",E1002&lt;&gt;""),ROUND((E1002-D1002)*1440,0),"")</f>
        <v/>
      </c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6">
        <f>IF(C1002="착유장",기준값!$B$3,IF(C1002="건유·육성우동",기준값!$B$2,""))</f>
        <v/>
      </c>
      <c r="V1002" s="6">
        <f>IF(AND(F1002&lt;&gt;"",F1002&gt;0,U1002&lt;&gt;""),ROUND((U1002-N(K1002))/(F1002/60),0),"")</f>
        <v/>
      </c>
      <c r="W1002" s="6">
        <f>IF(U1002&lt;&gt;"",ROUND(N(K1002)/U1002*100,1),"")</f>
        <v/>
      </c>
    </row>
    <row r="1003">
      <c r="A1003" s="3" t="n"/>
      <c r="B1003" s="4" t="n"/>
      <c r="C1003" s="4" t="n"/>
      <c r="D1003" s="5" t="n"/>
      <c r="E1003" s="5" t="n"/>
      <c r="F1003" s="6">
        <f>IF(AND(D1003&lt;&gt;"",E1003&lt;&gt;""),ROUND((E1003-D1003)*1440,0),"")</f>
        <v/>
      </c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6">
        <f>IF(C1003="착유장",기준값!$B$3,IF(C1003="건유·육성우동",기준값!$B$2,""))</f>
        <v/>
      </c>
      <c r="V1003" s="6">
        <f>IF(AND(F1003&lt;&gt;"",F1003&gt;0,U1003&lt;&gt;""),ROUND((U1003-N(K1003))/(F1003/60),0),"")</f>
        <v/>
      </c>
      <c r="W1003" s="6">
        <f>IF(U1003&lt;&gt;"",ROUND(N(K1003)/U1003*100,1),"")</f>
        <v/>
      </c>
    </row>
    <row r="1004">
      <c r="A1004" s="3" t="n"/>
      <c r="B1004" s="4" t="n"/>
      <c r="C1004" s="4" t="n"/>
      <c r="D1004" s="5" t="n"/>
      <c r="E1004" s="5" t="n"/>
      <c r="F1004" s="6">
        <f>IF(AND(D1004&lt;&gt;"",E1004&lt;&gt;""),ROUND((E1004-D1004)*1440,0),"")</f>
        <v/>
      </c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6">
        <f>IF(C1004="착유장",기준값!$B$3,IF(C1004="건유·육성우동",기준값!$B$2,""))</f>
        <v/>
      </c>
      <c r="V1004" s="6">
        <f>IF(AND(F1004&lt;&gt;"",F1004&gt;0,U1004&lt;&gt;""),ROUND((U1004-N(K1004))/(F1004/60),0),"")</f>
        <v/>
      </c>
      <c r="W1004" s="6">
        <f>IF(U1004&lt;&gt;"",ROUND(N(K1004)/U1004*100,1),"")</f>
        <v/>
      </c>
    </row>
    <row r="1005">
      <c r="A1005" s="3" t="n"/>
      <c r="B1005" s="4" t="n"/>
      <c r="C1005" s="4" t="n"/>
      <c r="D1005" s="5" t="n"/>
      <c r="E1005" s="5" t="n"/>
      <c r="F1005" s="6">
        <f>IF(AND(D1005&lt;&gt;"",E1005&lt;&gt;""),ROUND((E1005-D1005)*1440,0),"")</f>
        <v/>
      </c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6">
        <f>IF(C1005="착유장",기준값!$B$3,IF(C1005="건유·육성우동",기준값!$B$2,""))</f>
        <v/>
      </c>
      <c r="V1005" s="6">
        <f>IF(AND(F1005&lt;&gt;"",F1005&gt;0,U1005&lt;&gt;""),ROUND((U1005-N(K1005))/(F1005/60),0),"")</f>
        <v/>
      </c>
      <c r="W1005" s="6">
        <f>IF(U1005&lt;&gt;"",ROUND(N(K1005)/U1005*100,1),"")</f>
        <v/>
      </c>
    </row>
    <row r="1006">
      <c r="A1006" s="3" t="n"/>
      <c r="B1006" s="4" t="n"/>
      <c r="C1006" s="4" t="n"/>
      <c r="D1006" s="5" t="n"/>
      <c r="E1006" s="5" t="n"/>
      <c r="F1006" s="6">
        <f>IF(AND(D1006&lt;&gt;"",E1006&lt;&gt;""),ROUND((E1006-D1006)*1440,0),"")</f>
        <v/>
      </c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6">
        <f>IF(C1006="착유장",기준값!$B$3,IF(C1006="건유·육성우동",기준값!$B$2,""))</f>
        <v/>
      </c>
      <c r="V1006" s="6">
        <f>IF(AND(F1006&lt;&gt;"",F1006&gt;0,U1006&lt;&gt;""),ROUND((U1006-N(K1006))/(F1006/60),0),"")</f>
        <v/>
      </c>
      <c r="W1006" s="6">
        <f>IF(U1006&lt;&gt;"",ROUND(N(K1006)/U1006*100,1),"")</f>
        <v/>
      </c>
    </row>
    <row r="1007">
      <c r="A1007" s="3" t="n"/>
      <c r="B1007" s="4" t="n"/>
      <c r="C1007" s="4" t="n"/>
      <c r="D1007" s="5" t="n"/>
      <c r="E1007" s="5" t="n"/>
      <c r="F1007" s="6">
        <f>IF(AND(D1007&lt;&gt;"",E1007&lt;&gt;""),ROUND((E1007-D1007)*1440,0),"")</f>
        <v/>
      </c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6">
        <f>IF(C1007="착유장",기준값!$B$3,IF(C1007="건유·육성우동",기준값!$B$2,""))</f>
        <v/>
      </c>
      <c r="V1007" s="6">
        <f>IF(AND(F1007&lt;&gt;"",F1007&gt;0,U1007&lt;&gt;""),ROUND((U1007-N(K1007))/(F1007/60),0),"")</f>
        <v/>
      </c>
      <c r="W1007" s="6">
        <f>IF(U1007&lt;&gt;"",ROUND(N(K1007)/U1007*100,1),"")</f>
        <v/>
      </c>
    </row>
    <row r="1008">
      <c r="A1008" s="3" t="n"/>
      <c r="B1008" s="4" t="n"/>
      <c r="C1008" s="4" t="n"/>
      <c r="D1008" s="5" t="n"/>
      <c r="E1008" s="5" t="n"/>
      <c r="F1008" s="6">
        <f>IF(AND(D1008&lt;&gt;"",E1008&lt;&gt;""),ROUND((E1008-D1008)*1440,0),"")</f>
        <v/>
      </c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6">
        <f>IF(C1008="착유장",기준값!$B$3,IF(C1008="건유·육성우동",기준값!$B$2,""))</f>
        <v/>
      </c>
      <c r="V1008" s="6">
        <f>IF(AND(F1008&lt;&gt;"",F1008&gt;0,U1008&lt;&gt;""),ROUND((U1008-N(K1008))/(F1008/60),0),"")</f>
        <v/>
      </c>
      <c r="W1008" s="6">
        <f>IF(U1008&lt;&gt;"",ROUND(N(K1008)/U1008*100,1),"")</f>
        <v/>
      </c>
    </row>
    <row r="1009">
      <c r="A1009" s="3" t="n"/>
      <c r="B1009" s="4" t="n"/>
      <c r="C1009" s="4" t="n"/>
      <c r="D1009" s="5" t="n"/>
      <c r="E1009" s="5" t="n"/>
      <c r="F1009" s="6">
        <f>IF(AND(D1009&lt;&gt;"",E1009&lt;&gt;""),ROUND((E1009-D1009)*1440,0),"")</f>
        <v/>
      </c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6">
        <f>IF(C1009="착유장",기준값!$B$3,IF(C1009="건유·육성우동",기준값!$B$2,""))</f>
        <v/>
      </c>
      <c r="V1009" s="6">
        <f>IF(AND(F1009&lt;&gt;"",F1009&gt;0,U1009&lt;&gt;""),ROUND((U1009-N(K1009))/(F1009/60),0),"")</f>
        <v/>
      </c>
      <c r="W1009" s="6">
        <f>IF(U1009&lt;&gt;"",ROUND(N(K1009)/U1009*100,1),"")</f>
        <v/>
      </c>
    </row>
    <row r="1010">
      <c r="A1010" s="3" t="n"/>
      <c r="B1010" s="4" t="n"/>
      <c r="C1010" s="4" t="n"/>
      <c r="D1010" s="5" t="n"/>
      <c r="E1010" s="5" t="n"/>
      <c r="F1010" s="6">
        <f>IF(AND(D1010&lt;&gt;"",E1010&lt;&gt;""),ROUND((E1010-D1010)*1440,0),"")</f>
        <v/>
      </c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6">
        <f>IF(C1010="착유장",기준값!$B$3,IF(C1010="건유·육성우동",기준값!$B$2,""))</f>
        <v/>
      </c>
      <c r="V1010" s="6">
        <f>IF(AND(F1010&lt;&gt;"",F1010&gt;0,U1010&lt;&gt;""),ROUND((U1010-N(K1010))/(F1010/60),0),"")</f>
        <v/>
      </c>
      <c r="W1010" s="6">
        <f>IF(U1010&lt;&gt;"",ROUND(N(K1010)/U1010*100,1),"")</f>
        <v/>
      </c>
    </row>
    <row r="1011">
      <c r="A1011" s="3" t="n"/>
      <c r="B1011" s="4" t="n"/>
      <c r="C1011" s="4" t="n"/>
      <c r="D1011" s="5" t="n"/>
      <c r="E1011" s="5" t="n"/>
      <c r="F1011" s="6">
        <f>IF(AND(D1011&lt;&gt;"",E1011&lt;&gt;""),ROUND((E1011-D1011)*1440,0),"")</f>
        <v/>
      </c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6">
        <f>IF(C1011="착유장",기준값!$B$3,IF(C1011="건유·육성우동",기준값!$B$2,""))</f>
        <v/>
      </c>
      <c r="V1011" s="6">
        <f>IF(AND(F1011&lt;&gt;"",F1011&gt;0,U1011&lt;&gt;""),ROUND((U1011-N(K1011))/(F1011/60),0),"")</f>
        <v/>
      </c>
      <c r="W1011" s="6">
        <f>IF(U1011&lt;&gt;"",ROUND(N(K1011)/U1011*100,1),"")</f>
        <v/>
      </c>
    </row>
    <row r="1012">
      <c r="A1012" s="3" t="n"/>
      <c r="B1012" s="4" t="n"/>
      <c r="C1012" s="4" t="n"/>
      <c r="D1012" s="5" t="n"/>
      <c r="E1012" s="5" t="n"/>
      <c r="F1012" s="6">
        <f>IF(AND(D1012&lt;&gt;"",E1012&lt;&gt;""),ROUND((E1012-D1012)*1440,0),"")</f>
        <v/>
      </c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6">
        <f>IF(C1012="착유장",기준값!$B$3,IF(C1012="건유·육성우동",기준값!$B$2,""))</f>
        <v/>
      </c>
      <c r="V1012" s="6">
        <f>IF(AND(F1012&lt;&gt;"",F1012&gt;0,U1012&lt;&gt;""),ROUND((U1012-N(K1012))/(F1012/60),0),"")</f>
        <v/>
      </c>
      <c r="W1012" s="6">
        <f>IF(U1012&lt;&gt;"",ROUND(N(K1012)/U1012*100,1),"")</f>
        <v/>
      </c>
    </row>
    <row r="1013">
      <c r="A1013" s="3" t="n"/>
      <c r="B1013" s="4" t="n"/>
      <c r="C1013" s="4" t="n"/>
      <c r="D1013" s="5" t="n"/>
      <c r="E1013" s="5" t="n"/>
      <c r="F1013" s="6">
        <f>IF(AND(D1013&lt;&gt;"",E1013&lt;&gt;""),ROUND((E1013-D1013)*1440,0),"")</f>
        <v/>
      </c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6">
        <f>IF(C1013="착유장",기준값!$B$3,IF(C1013="건유·육성우동",기준값!$B$2,""))</f>
        <v/>
      </c>
      <c r="V1013" s="6">
        <f>IF(AND(F1013&lt;&gt;"",F1013&gt;0,U1013&lt;&gt;""),ROUND((U1013-N(K1013))/(F1013/60),0),"")</f>
        <v/>
      </c>
      <c r="W1013" s="6">
        <f>IF(U1013&lt;&gt;"",ROUND(N(K1013)/U1013*100,1),"")</f>
        <v/>
      </c>
    </row>
    <row r="1014">
      <c r="A1014" s="3" t="n"/>
      <c r="B1014" s="4" t="n"/>
      <c r="C1014" s="4" t="n"/>
      <c r="D1014" s="5" t="n"/>
      <c r="E1014" s="5" t="n"/>
      <c r="F1014" s="6">
        <f>IF(AND(D1014&lt;&gt;"",E1014&lt;&gt;""),ROUND((E1014-D1014)*1440,0),"")</f>
        <v/>
      </c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6">
        <f>IF(C1014="착유장",기준값!$B$3,IF(C1014="건유·육성우동",기준값!$B$2,""))</f>
        <v/>
      </c>
      <c r="V1014" s="6">
        <f>IF(AND(F1014&lt;&gt;"",F1014&gt;0,U1014&lt;&gt;""),ROUND((U1014-N(K1014))/(F1014/60),0),"")</f>
        <v/>
      </c>
      <c r="W1014" s="6">
        <f>IF(U1014&lt;&gt;"",ROUND(N(K1014)/U1014*100,1),"")</f>
        <v/>
      </c>
    </row>
    <row r="1015">
      <c r="A1015" s="3" t="n"/>
      <c r="B1015" s="4" t="n"/>
      <c r="C1015" s="4" t="n"/>
      <c r="D1015" s="5" t="n"/>
      <c r="E1015" s="5" t="n"/>
      <c r="F1015" s="6">
        <f>IF(AND(D1015&lt;&gt;"",E1015&lt;&gt;""),ROUND((E1015-D1015)*1440,0),"")</f>
        <v/>
      </c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6">
        <f>IF(C1015="착유장",기준값!$B$3,IF(C1015="건유·육성우동",기준값!$B$2,""))</f>
        <v/>
      </c>
      <c r="V1015" s="6">
        <f>IF(AND(F1015&lt;&gt;"",F1015&gt;0,U1015&lt;&gt;""),ROUND((U1015-N(K1015))/(F1015/60),0),"")</f>
        <v/>
      </c>
      <c r="W1015" s="6">
        <f>IF(U1015&lt;&gt;"",ROUND(N(K1015)/U1015*100,1),"")</f>
        <v/>
      </c>
    </row>
    <row r="1016">
      <c r="A1016" s="3" t="n"/>
      <c r="B1016" s="4" t="n"/>
      <c r="C1016" s="4" t="n"/>
      <c r="D1016" s="5" t="n"/>
      <c r="E1016" s="5" t="n"/>
      <c r="F1016" s="6">
        <f>IF(AND(D1016&lt;&gt;"",E1016&lt;&gt;""),ROUND((E1016-D1016)*1440,0),"")</f>
        <v/>
      </c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6">
        <f>IF(C1016="착유장",기준값!$B$3,IF(C1016="건유·육성우동",기준값!$B$2,""))</f>
        <v/>
      </c>
      <c r="V1016" s="6">
        <f>IF(AND(F1016&lt;&gt;"",F1016&gt;0,U1016&lt;&gt;""),ROUND((U1016-N(K1016))/(F1016/60),0),"")</f>
        <v/>
      </c>
      <c r="W1016" s="6">
        <f>IF(U1016&lt;&gt;"",ROUND(N(K1016)/U1016*100,1),"")</f>
        <v/>
      </c>
    </row>
    <row r="1017">
      <c r="A1017" s="3" t="n"/>
      <c r="B1017" s="4" t="n"/>
      <c r="C1017" s="4" t="n"/>
      <c r="D1017" s="5" t="n"/>
      <c r="E1017" s="5" t="n"/>
      <c r="F1017" s="6">
        <f>IF(AND(D1017&lt;&gt;"",E1017&lt;&gt;""),ROUND((E1017-D1017)*1440,0),"")</f>
        <v/>
      </c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6">
        <f>IF(C1017="착유장",기준값!$B$3,IF(C1017="건유·육성우동",기준값!$B$2,""))</f>
        <v/>
      </c>
      <c r="V1017" s="6">
        <f>IF(AND(F1017&lt;&gt;"",F1017&gt;0,U1017&lt;&gt;""),ROUND((U1017-N(K1017))/(F1017/60),0),"")</f>
        <v/>
      </c>
      <c r="W1017" s="6">
        <f>IF(U1017&lt;&gt;"",ROUND(N(K1017)/U1017*100,1),"")</f>
        <v/>
      </c>
    </row>
    <row r="1018">
      <c r="A1018" s="3" t="n"/>
      <c r="B1018" s="4" t="n"/>
      <c r="C1018" s="4" t="n"/>
      <c r="D1018" s="5" t="n"/>
      <c r="E1018" s="5" t="n"/>
      <c r="F1018" s="6">
        <f>IF(AND(D1018&lt;&gt;"",E1018&lt;&gt;""),ROUND((E1018-D1018)*1440,0),"")</f>
        <v/>
      </c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6">
        <f>IF(C1018="착유장",기준값!$B$3,IF(C1018="건유·육성우동",기준값!$B$2,""))</f>
        <v/>
      </c>
      <c r="V1018" s="6">
        <f>IF(AND(F1018&lt;&gt;"",F1018&gt;0,U1018&lt;&gt;""),ROUND((U1018-N(K1018))/(F1018/60),0),"")</f>
        <v/>
      </c>
      <c r="W1018" s="6">
        <f>IF(U1018&lt;&gt;"",ROUND(N(K1018)/U1018*100,1),"")</f>
        <v/>
      </c>
    </row>
    <row r="1019">
      <c r="A1019" s="3" t="n"/>
      <c r="B1019" s="4" t="n"/>
      <c r="C1019" s="4" t="n"/>
      <c r="D1019" s="5" t="n"/>
      <c r="E1019" s="5" t="n"/>
      <c r="F1019" s="6">
        <f>IF(AND(D1019&lt;&gt;"",E1019&lt;&gt;""),ROUND((E1019-D1019)*1440,0),"")</f>
        <v/>
      </c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6">
        <f>IF(C1019="착유장",기준값!$B$3,IF(C1019="건유·육성우동",기준값!$B$2,""))</f>
        <v/>
      </c>
      <c r="V1019" s="6">
        <f>IF(AND(F1019&lt;&gt;"",F1019&gt;0,U1019&lt;&gt;""),ROUND((U1019-N(K1019))/(F1019/60),0),"")</f>
        <v/>
      </c>
      <c r="W1019" s="6">
        <f>IF(U1019&lt;&gt;"",ROUND(N(K1019)/U1019*100,1),"")</f>
        <v/>
      </c>
    </row>
    <row r="1020">
      <c r="A1020" s="3" t="n"/>
      <c r="B1020" s="4" t="n"/>
      <c r="C1020" s="4" t="n"/>
      <c r="D1020" s="5" t="n"/>
      <c r="E1020" s="5" t="n"/>
      <c r="F1020" s="6">
        <f>IF(AND(D1020&lt;&gt;"",E1020&lt;&gt;""),ROUND((E1020-D1020)*1440,0),"")</f>
        <v/>
      </c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6">
        <f>IF(C1020="착유장",기준값!$B$3,IF(C1020="건유·육성우동",기준값!$B$2,""))</f>
        <v/>
      </c>
      <c r="V1020" s="6">
        <f>IF(AND(F1020&lt;&gt;"",F1020&gt;0,U1020&lt;&gt;""),ROUND((U1020-N(K1020))/(F1020/60),0),"")</f>
        <v/>
      </c>
      <c r="W1020" s="6">
        <f>IF(U1020&lt;&gt;"",ROUND(N(K1020)/U1020*100,1),"")</f>
        <v/>
      </c>
    </row>
    <row r="1021">
      <c r="A1021" s="3" t="n"/>
      <c r="B1021" s="4" t="n"/>
      <c r="C1021" s="4" t="n"/>
      <c r="D1021" s="5" t="n"/>
      <c r="E1021" s="5" t="n"/>
      <c r="F1021" s="6">
        <f>IF(AND(D1021&lt;&gt;"",E1021&lt;&gt;""),ROUND((E1021-D1021)*1440,0),"")</f>
        <v/>
      </c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6">
        <f>IF(C1021="착유장",기준값!$B$3,IF(C1021="건유·육성우동",기준값!$B$2,""))</f>
        <v/>
      </c>
      <c r="V1021" s="6">
        <f>IF(AND(F1021&lt;&gt;"",F1021&gt;0,U1021&lt;&gt;""),ROUND((U1021-N(K1021))/(F1021/60),0),"")</f>
        <v/>
      </c>
      <c r="W1021" s="6">
        <f>IF(U1021&lt;&gt;"",ROUND(N(K1021)/U1021*100,1),"")</f>
        <v/>
      </c>
    </row>
    <row r="1022">
      <c r="A1022" s="3" t="n"/>
      <c r="B1022" s="4" t="n"/>
      <c r="C1022" s="4" t="n"/>
      <c r="D1022" s="5" t="n"/>
      <c r="E1022" s="5" t="n"/>
      <c r="F1022" s="6">
        <f>IF(AND(D1022&lt;&gt;"",E1022&lt;&gt;""),ROUND((E1022-D1022)*1440,0),"")</f>
        <v/>
      </c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6">
        <f>IF(C1022="착유장",기준값!$B$3,IF(C1022="건유·육성우동",기준값!$B$2,""))</f>
        <v/>
      </c>
      <c r="V1022" s="6">
        <f>IF(AND(F1022&lt;&gt;"",F1022&gt;0,U1022&lt;&gt;""),ROUND((U1022-N(K1022))/(F1022/60),0),"")</f>
        <v/>
      </c>
      <c r="W1022" s="6">
        <f>IF(U1022&lt;&gt;"",ROUND(N(K1022)/U1022*100,1),"")</f>
        <v/>
      </c>
    </row>
    <row r="1023">
      <c r="A1023" s="3" t="n"/>
      <c r="B1023" s="4" t="n"/>
      <c r="C1023" s="4" t="n"/>
      <c r="D1023" s="5" t="n"/>
      <c r="E1023" s="5" t="n"/>
      <c r="F1023" s="6">
        <f>IF(AND(D1023&lt;&gt;"",E1023&lt;&gt;""),ROUND((E1023-D1023)*1440,0),"")</f>
        <v/>
      </c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6">
        <f>IF(C1023="착유장",기준값!$B$3,IF(C1023="건유·육성우동",기준값!$B$2,""))</f>
        <v/>
      </c>
      <c r="V1023" s="6">
        <f>IF(AND(F1023&lt;&gt;"",F1023&gt;0,U1023&lt;&gt;""),ROUND((U1023-N(K1023))/(F1023/60),0),"")</f>
        <v/>
      </c>
      <c r="W1023" s="6">
        <f>IF(U1023&lt;&gt;"",ROUND(N(K1023)/U1023*100,1),"")</f>
        <v/>
      </c>
    </row>
    <row r="1024">
      <c r="A1024" s="3" t="n"/>
      <c r="B1024" s="4" t="n"/>
      <c r="C1024" s="4" t="n"/>
      <c r="D1024" s="5" t="n"/>
      <c r="E1024" s="5" t="n"/>
      <c r="F1024" s="6">
        <f>IF(AND(D1024&lt;&gt;"",E1024&lt;&gt;""),ROUND((E1024-D1024)*1440,0),"")</f>
        <v/>
      </c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6">
        <f>IF(C1024="착유장",기준값!$B$3,IF(C1024="건유·육성우동",기준값!$B$2,""))</f>
        <v/>
      </c>
      <c r="V1024" s="6">
        <f>IF(AND(F1024&lt;&gt;"",F1024&gt;0,U1024&lt;&gt;""),ROUND((U1024-N(K1024))/(F1024/60),0),"")</f>
        <v/>
      </c>
      <c r="W1024" s="6">
        <f>IF(U1024&lt;&gt;"",ROUND(N(K1024)/U1024*100,1),"")</f>
        <v/>
      </c>
    </row>
    <row r="1025">
      <c r="A1025" s="3" t="n"/>
      <c r="B1025" s="4" t="n"/>
      <c r="C1025" s="4" t="n"/>
      <c r="D1025" s="5" t="n"/>
      <c r="E1025" s="5" t="n"/>
      <c r="F1025" s="6">
        <f>IF(AND(D1025&lt;&gt;"",E1025&lt;&gt;""),ROUND((E1025-D1025)*1440,0),"")</f>
        <v/>
      </c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6">
        <f>IF(C1025="착유장",기준값!$B$3,IF(C1025="건유·육성우동",기준값!$B$2,""))</f>
        <v/>
      </c>
      <c r="V1025" s="6">
        <f>IF(AND(F1025&lt;&gt;"",F1025&gt;0,U1025&lt;&gt;""),ROUND((U1025-N(K1025))/(F1025/60),0),"")</f>
        <v/>
      </c>
      <c r="W1025" s="6">
        <f>IF(U1025&lt;&gt;"",ROUND(N(K1025)/U1025*100,1),"")</f>
        <v/>
      </c>
    </row>
    <row r="1026">
      <c r="A1026" s="3" t="n"/>
      <c r="B1026" s="4" t="n"/>
      <c r="C1026" s="4" t="n"/>
      <c r="D1026" s="5" t="n"/>
      <c r="E1026" s="5" t="n"/>
      <c r="F1026" s="6">
        <f>IF(AND(D1026&lt;&gt;"",E1026&lt;&gt;""),ROUND((E1026-D1026)*1440,0),"")</f>
        <v/>
      </c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6">
        <f>IF(C1026="착유장",기준값!$B$3,IF(C1026="건유·육성우동",기준값!$B$2,""))</f>
        <v/>
      </c>
      <c r="V1026" s="6">
        <f>IF(AND(F1026&lt;&gt;"",F1026&gt;0,U1026&lt;&gt;""),ROUND((U1026-N(K1026))/(F1026/60),0),"")</f>
        <v/>
      </c>
      <c r="W1026" s="6">
        <f>IF(U1026&lt;&gt;"",ROUND(N(K1026)/U1026*100,1),"")</f>
        <v/>
      </c>
    </row>
    <row r="1027">
      <c r="A1027" s="3" t="n"/>
      <c r="B1027" s="4" t="n"/>
      <c r="C1027" s="4" t="n"/>
      <c r="D1027" s="5" t="n"/>
      <c r="E1027" s="5" t="n"/>
      <c r="F1027" s="6">
        <f>IF(AND(D1027&lt;&gt;"",E1027&lt;&gt;""),ROUND((E1027-D1027)*1440,0),"")</f>
        <v/>
      </c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6">
        <f>IF(C1027="착유장",기준값!$B$3,IF(C1027="건유·육성우동",기준값!$B$2,""))</f>
        <v/>
      </c>
      <c r="V1027" s="6">
        <f>IF(AND(F1027&lt;&gt;"",F1027&gt;0,U1027&lt;&gt;""),ROUND((U1027-N(K1027))/(F1027/60),0),"")</f>
        <v/>
      </c>
      <c r="W1027" s="6">
        <f>IF(U1027&lt;&gt;"",ROUND(N(K1027)/U1027*100,1),"")</f>
        <v/>
      </c>
    </row>
    <row r="1028">
      <c r="A1028" s="3" t="n"/>
      <c r="B1028" s="4" t="n"/>
      <c r="C1028" s="4" t="n"/>
      <c r="D1028" s="5" t="n"/>
      <c r="E1028" s="5" t="n"/>
      <c r="F1028" s="6">
        <f>IF(AND(D1028&lt;&gt;"",E1028&lt;&gt;""),ROUND((E1028-D1028)*1440,0),"")</f>
        <v/>
      </c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6">
        <f>IF(C1028="착유장",기준값!$B$3,IF(C1028="건유·육성우동",기준값!$B$2,""))</f>
        <v/>
      </c>
      <c r="V1028" s="6">
        <f>IF(AND(F1028&lt;&gt;"",F1028&gt;0,U1028&lt;&gt;""),ROUND((U1028-N(K1028))/(F1028/60),0),"")</f>
        <v/>
      </c>
      <c r="W1028" s="6">
        <f>IF(U1028&lt;&gt;"",ROUND(N(K1028)/U1028*100,1),"")</f>
        <v/>
      </c>
    </row>
    <row r="1029">
      <c r="A1029" s="3" t="n"/>
      <c r="B1029" s="4" t="n"/>
      <c r="C1029" s="4" t="n"/>
      <c r="D1029" s="5" t="n"/>
      <c r="E1029" s="5" t="n"/>
      <c r="F1029" s="6">
        <f>IF(AND(D1029&lt;&gt;"",E1029&lt;&gt;""),ROUND((E1029-D1029)*1440,0),"")</f>
        <v/>
      </c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6">
        <f>IF(C1029="착유장",기준값!$B$3,IF(C1029="건유·육성우동",기준값!$B$2,""))</f>
        <v/>
      </c>
      <c r="V1029" s="6">
        <f>IF(AND(F1029&lt;&gt;"",F1029&gt;0,U1029&lt;&gt;""),ROUND((U1029-N(K1029))/(F1029/60),0),"")</f>
        <v/>
      </c>
      <c r="W1029" s="6">
        <f>IF(U1029&lt;&gt;"",ROUND(N(K1029)/U1029*100,1),"")</f>
        <v/>
      </c>
    </row>
    <row r="1030">
      <c r="A1030" s="3" t="n"/>
      <c r="B1030" s="4" t="n"/>
      <c r="C1030" s="4" t="n"/>
      <c r="D1030" s="5" t="n"/>
      <c r="E1030" s="5" t="n"/>
      <c r="F1030" s="6">
        <f>IF(AND(D1030&lt;&gt;"",E1030&lt;&gt;""),ROUND((E1030-D1030)*1440,0),"")</f>
        <v/>
      </c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6">
        <f>IF(C1030="착유장",기준값!$B$3,IF(C1030="건유·육성우동",기준값!$B$2,""))</f>
        <v/>
      </c>
      <c r="V1030" s="6">
        <f>IF(AND(F1030&lt;&gt;"",F1030&gt;0,U1030&lt;&gt;""),ROUND((U1030-N(K1030))/(F1030/60),0),"")</f>
        <v/>
      </c>
      <c r="W1030" s="6">
        <f>IF(U1030&lt;&gt;"",ROUND(N(K1030)/U1030*100,1),"")</f>
        <v/>
      </c>
    </row>
    <row r="1031">
      <c r="A1031" s="3" t="n"/>
      <c r="B1031" s="4" t="n"/>
      <c r="C1031" s="4" t="n"/>
      <c r="D1031" s="5" t="n"/>
      <c r="E1031" s="5" t="n"/>
      <c r="F1031" s="6">
        <f>IF(AND(D1031&lt;&gt;"",E1031&lt;&gt;""),ROUND((E1031-D1031)*1440,0),"")</f>
        <v/>
      </c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6">
        <f>IF(C1031="착유장",기준값!$B$3,IF(C1031="건유·육성우동",기준값!$B$2,""))</f>
        <v/>
      </c>
      <c r="V1031" s="6">
        <f>IF(AND(F1031&lt;&gt;"",F1031&gt;0,U1031&lt;&gt;""),ROUND((U1031-N(K1031))/(F1031/60),0),"")</f>
        <v/>
      </c>
      <c r="W1031" s="6">
        <f>IF(U1031&lt;&gt;"",ROUND(N(K1031)/U1031*100,1),"")</f>
        <v/>
      </c>
    </row>
    <row r="1032">
      <c r="A1032" s="3" t="n"/>
      <c r="B1032" s="4" t="n"/>
      <c r="C1032" s="4" t="n"/>
      <c r="D1032" s="5" t="n"/>
      <c r="E1032" s="5" t="n"/>
      <c r="F1032" s="6">
        <f>IF(AND(D1032&lt;&gt;"",E1032&lt;&gt;""),ROUND((E1032-D1032)*1440,0),"")</f>
        <v/>
      </c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6">
        <f>IF(C1032="착유장",기준값!$B$3,IF(C1032="건유·육성우동",기준값!$B$2,""))</f>
        <v/>
      </c>
      <c r="V1032" s="6">
        <f>IF(AND(F1032&lt;&gt;"",F1032&gt;0,U1032&lt;&gt;""),ROUND((U1032-N(K1032))/(F1032/60),0),"")</f>
        <v/>
      </c>
      <c r="W1032" s="6">
        <f>IF(U1032&lt;&gt;"",ROUND(N(K1032)/U1032*100,1),"")</f>
        <v/>
      </c>
    </row>
    <row r="1033">
      <c r="A1033" s="3" t="n"/>
      <c r="B1033" s="4" t="n"/>
      <c r="C1033" s="4" t="n"/>
      <c r="D1033" s="5" t="n"/>
      <c r="E1033" s="5" t="n"/>
      <c r="F1033" s="6">
        <f>IF(AND(D1033&lt;&gt;"",E1033&lt;&gt;""),ROUND((E1033-D1033)*1440,0),"")</f>
        <v/>
      </c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6">
        <f>IF(C1033="착유장",기준값!$B$3,IF(C1033="건유·육성우동",기준값!$B$2,""))</f>
        <v/>
      </c>
      <c r="V1033" s="6">
        <f>IF(AND(F1033&lt;&gt;"",F1033&gt;0,U1033&lt;&gt;""),ROUND((U1033-N(K1033))/(F1033/60),0),"")</f>
        <v/>
      </c>
      <c r="W1033" s="6">
        <f>IF(U1033&lt;&gt;"",ROUND(N(K1033)/U1033*100,1),"")</f>
        <v/>
      </c>
    </row>
    <row r="1034">
      <c r="A1034" s="3" t="n"/>
      <c r="B1034" s="4" t="n"/>
      <c r="C1034" s="4" t="n"/>
      <c r="D1034" s="5" t="n"/>
      <c r="E1034" s="5" t="n"/>
      <c r="F1034" s="6">
        <f>IF(AND(D1034&lt;&gt;"",E1034&lt;&gt;""),ROUND((E1034-D1034)*1440,0),"")</f>
        <v/>
      </c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6">
        <f>IF(C1034="착유장",기준값!$B$3,IF(C1034="건유·육성우동",기준값!$B$2,""))</f>
        <v/>
      </c>
      <c r="V1034" s="6">
        <f>IF(AND(F1034&lt;&gt;"",F1034&gt;0,U1034&lt;&gt;""),ROUND((U1034-N(K1034))/(F1034/60),0),"")</f>
        <v/>
      </c>
      <c r="W1034" s="6">
        <f>IF(U1034&lt;&gt;"",ROUND(N(K1034)/U1034*100,1),"")</f>
        <v/>
      </c>
    </row>
    <row r="1035">
      <c r="A1035" s="3" t="n"/>
      <c r="B1035" s="4" t="n"/>
      <c r="C1035" s="4" t="n"/>
      <c r="D1035" s="5" t="n"/>
      <c r="E1035" s="5" t="n"/>
      <c r="F1035" s="6">
        <f>IF(AND(D1035&lt;&gt;"",E1035&lt;&gt;""),ROUND((E1035-D1035)*1440,0),"")</f>
        <v/>
      </c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6">
        <f>IF(C1035="착유장",기준값!$B$3,IF(C1035="건유·육성우동",기준값!$B$2,""))</f>
        <v/>
      </c>
      <c r="V1035" s="6">
        <f>IF(AND(F1035&lt;&gt;"",F1035&gt;0,U1035&lt;&gt;""),ROUND((U1035-N(K1035))/(F1035/60),0),"")</f>
        <v/>
      </c>
      <c r="W1035" s="6">
        <f>IF(U1035&lt;&gt;"",ROUND(N(K1035)/U1035*100,1),"")</f>
        <v/>
      </c>
    </row>
    <row r="1036">
      <c r="A1036" s="3" t="n"/>
      <c r="B1036" s="4" t="n"/>
      <c r="C1036" s="4" t="n"/>
      <c r="D1036" s="5" t="n"/>
      <c r="E1036" s="5" t="n"/>
      <c r="F1036" s="6">
        <f>IF(AND(D1036&lt;&gt;"",E1036&lt;&gt;""),ROUND((E1036-D1036)*1440,0),"")</f>
        <v/>
      </c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6">
        <f>IF(C1036="착유장",기준값!$B$3,IF(C1036="건유·육성우동",기준값!$B$2,""))</f>
        <v/>
      </c>
      <c r="V1036" s="6">
        <f>IF(AND(F1036&lt;&gt;"",F1036&gt;0,U1036&lt;&gt;""),ROUND((U1036-N(K1036))/(F1036/60),0),"")</f>
        <v/>
      </c>
      <c r="W1036" s="6">
        <f>IF(U1036&lt;&gt;"",ROUND(N(K1036)/U1036*100,1),"")</f>
        <v/>
      </c>
    </row>
    <row r="1037">
      <c r="A1037" s="3" t="n"/>
      <c r="B1037" s="4" t="n"/>
      <c r="C1037" s="4" t="n"/>
      <c r="D1037" s="5" t="n"/>
      <c r="E1037" s="5" t="n"/>
      <c r="F1037" s="6">
        <f>IF(AND(D1037&lt;&gt;"",E1037&lt;&gt;""),ROUND((E1037-D1037)*1440,0),"")</f>
        <v/>
      </c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6">
        <f>IF(C1037="착유장",기준값!$B$3,IF(C1037="건유·육성우동",기준값!$B$2,""))</f>
        <v/>
      </c>
      <c r="V1037" s="6">
        <f>IF(AND(F1037&lt;&gt;"",F1037&gt;0,U1037&lt;&gt;""),ROUND((U1037-N(K1037))/(F1037/60),0),"")</f>
        <v/>
      </c>
      <c r="W1037" s="6">
        <f>IF(U1037&lt;&gt;"",ROUND(N(K1037)/U1037*100,1),"")</f>
        <v/>
      </c>
    </row>
    <row r="1038">
      <c r="A1038" s="3" t="n"/>
      <c r="B1038" s="4" t="n"/>
      <c r="C1038" s="4" t="n"/>
      <c r="D1038" s="5" t="n"/>
      <c r="E1038" s="5" t="n"/>
      <c r="F1038" s="6">
        <f>IF(AND(D1038&lt;&gt;"",E1038&lt;&gt;""),ROUND((E1038-D1038)*1440,0),"")</f>
        <v/>
      </c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6">
        <f>IF(C1038="착유장",기준값!$B$3,IF(C1038="건유·육성우동",기준값!$B$2,""))</f>
        <v/>
      </c>
      <c r="V1038" s="6">
        <f>IF(AND(F1038&lt;&gt;"",F1038&gt;0,U1038&lt;&gt;""),ROUND((U1038-N(K1038))/(F1038/60),0),"")</f>
        <v/>
      </c>
      <c r="W1038" s="6">
        <f>IF(U1038&lt;&gt;"",ROUND(N(K1038)/U1038*100,1),"")</f>
        <v/>
      </c>
    </row>
    <row r="1039">
      <c r="A1039" s="3" t="n"/>
      <c r="B1039" s="4" t="n"/>
      <c r="C1039" s="4" t="n"/>
      <c r="D1039" s="5" t="n"/>
      <c r="E1039" s="5" t="n"/>
      <c r="F1039" s="6">
        <f>IF(AND(D1039&lt;&gt;"",E1039&lt;&gt;""),ROUND((E1039-D1039)*1440,0),"")</f>
        <v/>
      </c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6">
        <f>IF(C1039="착유장",기준값!$B$3,IF(C1039="건유·육성우동",기준값!$B$2,""))</f>
        <v/>
      </c>
      <c r="V1039" s="6">
        <f>IF(AND(F1039&lt;&gt;"",F1039&gt;0,U1039&lt;&gt;""),ROUND((U1039-N(K1039))/(F1039/60),0),"")</f>
        <v/>
      </c>
      <c r="W1039" s="6">
        <f>IF(U1039&lt;&gt;"",ROUND(N(K1039)/U1039*100,1),"")</f>
        <v/>
      </c>
    </row>
    <row r="1040">
      <c r="A1040" s="3" t="n"/>
      <c r="B1040" s="4" t="n"/>
      <c r="C1040" s="4" t="n"/>
      <c r="D1040" s="5" t="n"/>
      <c r="E1040" s="5" t="n"/>
      <c r="F1040" s="6">
        <f>IF(AND(D1040&lt;&gt;"",E1040&lt;&gt;""),ROUND((E1040-D1040)*1440,0),"")</f>
        <v/>
      </c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6">
        <f>IF(C1040="착유장",기준값!$B$3,IF(C1040="건유·육성우동",기준값!$B$2,""))</f>
        <v/>
      </c>
      <c r="V1040" s="6">
        <f>IF(AND(F1040&lt;&gt;"",F1040&gt;0,U1040&lt;&gt;""),ROUND((U1040-N(K1040))/(F1040/60),0),"")</f>
        <v/>
      </c>
      <c r="W1040" s="6">
        <f>IF(U1040&lt;&gt;"",ROUND(N(K1040)/U1040*100,1),"")</f>
        <v/>
      </c>
    </row>
    <row r="1041">
      <c r="A1041" s="3" t="n"/>
      <c r="B1041" s="4" t="n"/>
      <c r="C1041" s="4" t="n"/>
      <c r="D1041" s="5" t="n"/>
      <c r="E1041" s="5" t="n"/>
      <c r="F1041" s="6">
        <f>IF(AND(D1041&lt;&gt;"",E1041&lt;&gt;""),ROUND((E1041-D1041)*1440,0),"")</f>
        <v/>
      </c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6">
        <f>IF(C1041="착유장",기준값!$B$3,IF(C1041="건유·육성우동",기준값!$B$2,""))</f>
        <v/>
      </c>
      <c r="V1041" s="6">
        <f>IF(AND(F1041&lt;&gt;"",F1041&gt;0,U1041&lt;&gt;""),ROUND((U1041-N(K1041))/(F1041/60),0),"")</f>
        <v/>
      </c>
      <c r="W1041" s="6">
        <f>IF(U1041&lt;&gt;"",ROUND(N(K1041)/U1041*100,1),"")</f>
        <v/>
      </c>
    </row>
    <row r="1042">
      <c r="A1042" s="3" t="n"/>
      <c r="B1042" s="4" t="n"/>
      <c r="C1042" s="4" t="n"/>
      <c r="D1042" s="5" t="n"/>
      <c r="E1042" s="5" t="n"/>
      <c r="F1042" s="6">
        <f>IF(AND(D1042&lt;&gt;"",E1042&lt;&gt;""),ROUND((E1042-D1042)*1440,0),"")</f>
        <v/>
      </c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6">
        <f>IF(C1042="착유장",기준값!$B$3,IF(C1042="건유·육성우동",기준값!$B$2,""))</f>
        <v/>
      </c>
      <c r="V1042" s="6">
        <f>IF(AND(F1042&lt;&gt;"",F1042&gt;0,U1042&lt;&gt;""),ROUND((U1042-N(K1042))/(F1042/60),0),"")</f>
        <v/>
      </c>
      <c r="W1042" s="6">
        <f>IF(U1042&lt;&gt;"",ROUND(N(K1042)/U1042*100,1),"")</f>
        <v/>
      </c>
    </row>
    <row r="1043">
      <c r="A1043" s="3" t="n"/>
      <c r="B1043" s="4" t="n"/>
      <c r="C1043" s="4" t="n"/>
      <c r="D1043" s="5" t="n"/>
      <c r="E1043" s="5" t="n"/>
      <c r="F1043" s="6">
        <f>IF(AND(D1043&lt;&gt;"",E1043&lt;&gt;""),ROUND((E1043-D1043)*1440,0),"")</f>
        <v/>
      </c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6">
        <f>IF(C1043="착유장",기준값!$B$3,IF(C1043="건유·육성우동",기준값!$B$2,""))</f>
        <v/>
      </c>
      <c r="V1043" s="6">
        <f>IF(AND(F1043&lt;&gt;"",F1043&gt;0,U1043&lt;&gt;""),ROUND((U1043-N(K1043))/(F1043/60),0),"")</f>
        <v/>
      </c>
      <c r="W1043" s="6">
        <f>IF(U1043&lt;&gt;"",ROUND(N(K1043)/U1043*100,1),"")</f>
        <v/>
      </c>
    </row>
    <row r="1044">
      <c r="A1044" s="3" t="n"/>
      <c r="B1044" s="4" t="n"/>
      <c r="C1044" s="4" t="n"/>
      <c r="D1044" s="5" t="n"/>
      <c r="E1044" s="5" t="n"/>
      <c r="F1044" s="6">
        <f>IF(AND(D1044&lt;&gt;"",E1044&lt;&gt;""),ROUND((E1044-D1044)*1440,0),"")</f>
        <v/>
      </c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6">
        <f>IF(C1044="착유장",기준값!$B$3,IF(C1044="건유·육성우동",기준값!$B$2,""))</f>
        <v/>
      </c>
      <c r="V1044" s="6">
        <f>IF(AND(F1044&lt;&gt;"",F1044&gt;0,U1044&lt;&gt;""),ROUND((U1044-N(K1044))/(F1044/60),0),"")</f>
        <v/>
      </c>
      <c r="W1044" s="6">
        <f>IF(U1044&lt;&gt;"",ROUND(N(K1044)/U1044*100,1),"")</f>
        <v/>
      </c>
    </row>
    <row r="1045">
      <c r="A1045" s="3" t="n"/>
      <c r="B1045" s="4" t="n"/>
      <c r="C1045" s="4" t="n"/>
      <c r="D1045" s="5" t="n"/>
      <c r="E1045" s="5" t="n"/>
      <c r="F1045" s="6">
        <f>IF(AND(D1045&lt;&gt;"",E1045&lt;&gt;""),ROUND((E1045-D1045)*1440,0),"")</f>
        <v/>
      </c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6">
        <f>IF(C1045="착유장",기준값!$B$3,IF(C1045="건유·육성우동",기준값!$B$2,""))</f>
        <v/>
      </c>
      <c r="V1045" s="6">
        <f>IF(AND(F1045&lt;&gt;"",F1045&gt;0,U1045&lt;&gt;""),ROUND((U1045-N(K1045))/(F1045/60),0),"")</f>
        <v/>
      </c>
      <c r="W1045" s="6">
        <f>IF(U1045&lt;&gt;"",ROUND(N(K1045)/U1045*100,1),"")</f>
        <v/>
      </c>
    </row>
    <row r="1046">
      <c r="A1046" s="3" t="n"/>
      <c r="B1046" s="4" t="n"/>
      <c r="C1046" s="4" t="n"/>
      <c r="D1046" s="5" t="n"/>
      <c r="E1046" s="5" t="n"/>
      <c r="F1046" s="6">
        <f>IF(AND(D1046&lt;&gt;"",E1046&lt;&gt;""),ROUND((E1046-D1046)*1440,0),"")</f>
        <v/>
      </c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6">
        <f>IF(C1046="착유장",기준값!$B$3,IF(C1046="건유·육성우동",기준값!$B$2,""))</f>
        <v/>
      </c>
      <c r="V1046" s="6">
        <f>IF(AND(F1046&lt;&gt;"",F1046&gt;0,U1046&lt;&gt;""),ROUND((U1046-N(K1046))/(F1046/60),0),"")</f>
        <v/>
      </c>
      <c r="W1046" s="6">
        <f>IF(U1046&lt;&gt;"",ROUND(N(K1046)/U1046*100,1),"")</f>
        <v/>
      </c>
    </row>
    <row r="1047">
      <c r="A1047" s="3" t="n"/>
      <c r="B1047" s="4" t="n"/>
      <c r="C1047" s="4" t="n"/>
      <c r="D1047" s="5" t="n"/>
      <c r="E1047" s="5" t="n"/>
      <c r="F1047" s="6">
        <f>IF(AND(D1047&lt;&gt;"",E1047&lt;&gt;""),ROUND((E1047-D1047)*1440,0),"")</f>
        <v/>
      </c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6">
        <f>IF(C1047="착유장",기준값!$B$3,IF(C1047="건유·육성우동",기준값!$B$2,""))</f>
        <v/>
      </c>
      <c r="V1047" s="6">
        <f>IF(AND(F1047&lt;&gt;"",F1047&gt;0,U1047&lt;&gt;""),ROUND((U1047-N(K1047))/(F1047/60),0),"")</f>
        <v/>
      </c>
      <c r="W1047" s="6">
        <f>IF(U1047&lt;&gt;"",ROUND(N(K1047)/U1047*100,1),"")</f>
        <v/>
      </c>
    </row>
    <row r="1048">
      <c r="A1048" s="3" t="n"/>
      <c r="B1048" s="4" t="n"/>
      <c r="C1048" s="4" t="n"/>
      <c r="D1048" s="5" t="n"/>
      <c r="E1048" s="5" t="n"/>
      <c r="F1048" s="6">
        <f>IF(AND(D1048&lt;&gt;"",E1048&lt;&gt;""),ROUND((E1048-D1048)*1440,0),"")</f>
        <v/>
      </c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6">
        <f>IF(C1048="착유장",기준값!$B$3,IF(C1048="건유·육성우동",기준값!$B$2,""))</f>
        <v/>
      </c>
      <c r="V1048" s="6">
        <f>IF(AND(F1048&lt;&gt;"",F1048&gt;0,U1048&lt;&gt;""),ROUND((U1048-N(K1048))/(F1048/60),0),"")</f>
        <v/>
      </c>
      <c r="W1048" s="6">
        <f>IF(U1048&lt;&gt;"",ROUND(N(K1048)/U1048*100,1),"")</f>
        <v/>
      </c>
    </row>
    <row r="1049">
      <c r="A1049" s="3" t="n"/>
      <c r="B1049" s="4" t="n"/>
      <c r="C1049" s="4" t="n"/>
      <c r="D1049" s="5" t="n"/>
      <c r="E1049" s="5" t="n"/>
      <c r="F1049" s="6">
        <f>IF(AND(D1049&lt;&gt;"",E1049&lt;&gt;""),ROUND((E1049-D1049)*1440,0),"")</f>
        <v/>
      </c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6">
        <f>IF(C1049="착유장",기준값!$B$3,IF(C1049="건유·육성우동",기준값!$B$2,""))</f>
        <v/>
      </c>
      <c r="V1049" s="6">
        <f>IF(AND(F1049&lt;&gt;"",F1049&gt;0,U1049&lt;&gt;""),ROUND((U1049-N(K1049))/(F1049/60),0),"")</f>
        <v/>
      </c>
      <c r="W1049" s="6">
        <f>IF(U1049&lt;&gt;"",ROUND(N(K1049)/U1049*100,1),"")</f>
        <v/>
      </c>
    </row>
    <row r="1050">
      <c r="A1050" s="3" t="n"/>
      <c r="B1050" s="4" t="n"/>
      <c r="C1050" s="4" t="n"/>
      <c r="D1050" s="5" t="n"/>
      <c r="E1050" s="5" t="n"/>
      <c r="F1050" s="6">
        <f>IF(AND(D1050&lt;&gt;"",E1050&lt;&gt;""),ROUND((E1050-D1050)*1440,0),"")</f>
        <v/>
      </c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6">
        <f>IF(C1050="착유장",기준값!$B$3,IF(C1050="건유·육성우동",기준값!$B$2,""))</f>
        <v/>
      </c>
      <c r="V1050" s="6">
        <f>IF(AND(F1050&lt;&gt;"",F1050&gt;0,U1050&lt;&gt;""),ROUND((U1050-N(K1050))/(F1050/60),0),"")</f>
        <v/>
      </c>
      <c r="W1050" s="6">
        <f>IF(U1050&lt;&gt;"",ROUND(N(K1050)/U1050*100,1),"")</f>
        <v/>
      </c>
    </row>
    <row r="1051">
      <c r="A1051" s="3" t="n"/>
      <c r="B1051" s="4" t="n"/>
      <c r="C1051" s="4" t="n"/>
      <c r="D1051" s="5" t="n"/>
      <c r="E1051" s="5" t="n"/>
      <c r="F1051" s="6">
        <f>IF(AND(D1051&lt;&gt;"",E1051&lt;&gt;""),ROUND((E1051-D1051)*1440,0),"")</f>
        <v/>
      </c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6">
        <f>IF(C1051="착유장",기준값!$B$3,IF(C1051="건유·육성우동",기준값!$B$2,""))</f>
        <v/>
      </c>
      <c r="V1051" s="6">
        <f>IF(AND(F1051&lt;&gt;"",F1051&gt;0,U1051&lt;&gt;""),ROUND((U1051-N(K1051))/(F1051/60),0),"")</f>
        <v/>
      </c>
      <c r="W1051" s="6">
        <f>IF(U1051&lt;&gt;"",ROUND(N(K1051)/U1051*100,1),"")</f>
        <v/>
      </c>
    </row>
    <row r="1052">
      <c r="A1052" s="3" t="n"/>
      <c r="B1052" s="4" t="n"/>
      <c r="C1052" s="4" t="n"/>
      <c r="D1052" s="5" t="n"/>
      <c r="E1052" s="5" t="n"/>
      <c r="F1052" s="6">
        <f>IF(AND(D1052&lt;&gt;"",E1052&lt;&gt;""),ROUND((E1052-D1052)*1440,0),"")</f>
        <v/>
      </c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6">
        <f>IF(C1052="착유장",기준값!$B$3,IF(C1052="건유·육성우동",기준값!$B$2,""))</f>
        <v/>
      </c>
      <c r="V1052" s="6">
        <f>IF(AND(F1052&lt;&gt;"",F1052&gt;0,U1052&lt;&gt;""),ROUND((U1052-N(K1052))/(F1052/60),0),"")</f>
        <v/>
      </c>
      <c r="W1052" s="6">
        <f>IF(U1052&lt;&gt;"",ROUND(N(K1052)/U1052*100,1),"")</f>
        <v/>
      </c>
    </row>
    <row r="1053">
      <c r="A1053" s="3" t="n"/>
      <c r="B1053" s="4" t="n"/>
      <c r="C1053" s="4" t="n"/>
      <c r="D1053" s="5" t="n"/>
      <c r="E1053" s="5" t="n"/>
      <c r="F1053" s="6">
        <f>IF(AND(D1053&lt;&gt;"",E1053&lt;&gt;""),ROUND((E1053-D1053)*1440,0),"")</f>
        <v/>
      </c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6">
        <f>IF(C1053="착유장",기준값!$B$3,IF(C1053="건유·육성우동",기준값!$B$2,""))</f>
        <v/>
      </c>
      <c r="V1053" s="6">
        <f>IF(AND(F1053&lt;&gt;"",F1053&gt;0,U1053&lt;&gt;""),ROUND((U1053-N(K1053))/(F1053/60),0),"")</f>
        <v/>
      </c>
      <c r="W1053" s="6">
        <f>IF(U1053&lt;&gt;"",ROUND(N(K1053)/U1053*100,1),"")</f>
        <v/>
      </c>
    </row>
    <row r="1054">
      <c r="A1054" s="3" t="n"/>
      <c r="B1054" s="4" t="n"/>
      <c r="C1054" s="4" t="n"/>
      <c r="D1054" s="5" t="n"/>
      <c r="E1054" s="5" t="n"/>
      <c r="F1054" s="6">
        <f>IF(AND(D1054&lt;&gt;"",E1054&lt;&gt;""),ROUND((E1054-D1054)*1440,0),"")</f>
        <v/>
      </c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6">
        <f>IF(C1054="착유장",기준값!$B$3,IF(C1054="건유·육성우동",기준값!$B$2,""))</f>
        <v/>
      </c>
      <c r="V1054" s="6">
        <f>IF(AND(F1054&lt;&gt;"",F1054&gt;0,U1054&lt;&gt;""),ROUND((U1054-N(K1054))/(F1054/60),0),"")</f>
        <v/>
      </c>
      <c r="W1054" s="6">
        <f>IF(U1054&lt;&gt;"",ROUND(N(K1054)/U1054*100,1),"")</f>
        <v/>
      </c>
    </row>
    <row r="1055">
      <c r="A1055" s="3" t="n"/>
      <c r="B1055" s="4" t="n"/>
      <c r="C1055" s="4" t="n"/>
      <c r="D1055" s="5" t="n"/>
      <c r="E1055" s="5" t="n"/>
      <c r="F1055" s="6">
        <f>IF(AND(D1055&lt;&gt;"",E1055&lt;&gt;""),ROUND((E1055-D1055)*1440,0),"")</f>
        <v/>
      </c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6">
        <f>IF(C1055="착유장",기준값!$B$3,IF(C1055="건유·육성우동",기준값!$B$2,""))</f>
        <v/>
      </c>
      <c r="V1055" s="6">
        <f>IF(AND(F1055&lt;&gt;"",F1055&gt;0,U1055&lt;&gt;""),ROUND((U1055-N(K1055))/(F1055/60),0),"")</f>
        <v/>
      </c>
      <c r="W1055" s="6">
        <f>IF(U1055&lt;&gt;"",ROUND(N(K1055)/U1055*100,1),"")</f>
        <v/>
      </c>
    </row>
    <row r="1056">
      <c r="A1056" s="3" t="n"/>
      <c r="B1056" s="4" t="n"/>
      <c r="C1056" s="4" t="n"/>
      <c r="D1056" s="5" t="n"/>
      <c r="E1056" s="5" t="n"/>
      <c r="F1056" s="6">
        <f>IF(AND(D1056&lt;&gt;"",E1056&lt;&gt;""),ROUND((E1056-D1056)*1440,0),"")</f>
        <v/>
      </c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6">
        <f>IF(C1056="착유장",기준값!$B$3,IF(C1056="건유·육성우동",기준값!$B$2,""))</f>
        <v/>
      </c>
      <c r="V1056" s="6">
        <f>IF(AND(F1056&lt;&gt;"",F1056&gt;0,U1056&lt;&gt;""),ROUND((U1056-N(K1056))/(F1056/60),0),"")</f>
        <v/>
      </c>
      <c r="W1056" s="6">
        <f>IF(U1056&lt;&gt;"",ROUND(N(K1056)/U1056*100,1),"")</f>
        <v/>
      </c>
    </row>
    <row r="1057">
      <c r="A1057" s="3" t="n"/>
      <c r="B1057" s="4" t="n"/>
      <c r="C1057" s="4" t="n"/>
      <c r="D1057" s="5" t="n"/>
      <c r="E1057" s="5" t="n"/>
      <c r="F1057" s="6">
        <f>IF(AND(D1057&lt;&gt;"",E1057&lt;&gt;""),ROUND((E1057-D1057)*1440,0),"")</f>
        <v/>
      </c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6">
        <f>IF(C1057="착유장",기준값!$B$3,IF(C1057="건유·육성우동",기준값!$B$2,""))</f>
        <v/>
      </c>
      <c r="V1057" s="6">
        <f>IF(AND(F1057&lt;&gt;"",F1057&gt;0,U1057&lt;&gt;""),ROUND((U1057-N(K1057))/(F1057/60),0),"")</f>
        <v/>
      </c>
      <c r="W1057" s="6">
        <f>IF(U1057&lt;&gt;"",ROUND(N(K1057)/U1057*100,1),"")</f>
        <v/>
      </c>
    </row>
    <row r="1058">
      <c r="A1058" s="3" t="n"/>
      <c r="B1058" s="4" t="n"/>
      <c r="C1058" s="4" t="n"/>
      <c r="D1058" s="5" t="n"/>
      <c r="E1058" s="5" t="n"/>
      <c r="F1058" s="6">
        <f>IF(AND(D1058&lt;&gt;"",E1058&lt;&gt;""),ROUND((E1058-D1058)*1440,0),"")</f>
        <v/>
      </c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6">
        <f>IF(C1058="착유장",기준값!$B$3,IF(C1058="건유·육성우동",기준값!$B$2,""))</f>
        <v/>
      </c>
      <c r="V1058" s="6">
        <f>IF(AND(F1058&lt;&gt;"",F1058&gt;0,U1058&lt;&gt;""),ROUND((U1058-N(K1058))/(F1058/60),0),"")</f>
        <v/>
      </c>
      <c r="W1058" s="6">
        <f>IF(U1058&lt;&gt;"",ROUND(N(K1058)/U1058*100,1),"")</f>
        <v/>
      </c>
    </row>
    <row r="1059">
      <c r="A1059" s="3" t="n"/>
      <c r="B1059" s="4" t="n"/>
      <c r="C1059" s="4" t="n"/>
      <c r="D1059" s="5" t="n"/>
      <c r="E1059" s="5" t="n"/>
      <c r="F1059" s="6">
        <f>IF(AND(D1059&lt;&gt;"",E1059&lt;&gt;""),ROUND((E1059-D1059)*1440,0),"")</f>
        <v/>
      </c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6">
        <f>IF(C1059="착유장",기준값!$B$3,IF(C1059="건유·육성우동",기준값!$B$2,""))</f>
        <v/>
      </c>
      <c r="V1059" s="6">
        <f>IF(AND(F1059&lt;&gt;"",F1059&gt;0,U1059&lt;&gt;""),ROUND((U1059-N(K1059))/(F1059/60),0),"")</f>
        <v/>
      </c>
      <c r="W1059" s="6">
        <f>IF(U1059&lt;&gt;"",ROUND(N(K1059)/U1059*100,1),"")</f>
        <v/>
      </c>
    </row>
    <row r="1060">
      <c r="A1060" s="3" t="n"/>
      <c r="B1060" s="4" t="n"/>
      <c r="C1060" s="4" t="n"/>
      <c r="D1060" s="5" t="n"/>
      <c r="E1060" s="5" t="n"/>
      <c r="F1060" s="6">
        <f>IF(AND(D1060&lt;&gt;"",E1060&lt;&gt;""),ROUND((E1060-D1060)*1440,0),"")</f>
        <v/>
      </c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6">
        <f>IF(C1060="착유장",기준값!$B$3,IF(C1060="건유·육성우동",기준값!$B$2,""))</f>
        <v/>
      </c>
      <c r="V1060" s="6">
        <f>IF(AND(F1060&lt;&gt;"",F1060&gt;0,U1060&lt;&gt;""),ROUND((U1060-N(K1060))/(F1060/60),0),"")</f>
        <v/>
      </c>
      <c r="W1060" s="6">
        <f>IF(U1060&lt;&gt;"",ROUND(N(K1060)/U1060*100,1),"")</f>
        <v/>
      </c>
    </row>
    <row r="1061">
      <c r="A1061" s="3" t="n"/>
      <c r="B1061" s="4" t="n"/>
      <c r="C1061" s="4" t="n"/>
      <c r="D1061" s="5" t="n"/>
      <c r="E1061" s="5" t="n"/>
      <c r="F1061" s="6">
        <f>IF(AND(D1061&lt;&gt;"",E1061&lt;&gt;""),ROUND((E1061-D1061)*1440,0),"")</f>
        <v/>
      </c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6">
        <f>IF(C1061="착유장",기준값!$B$3,IF(C1061="건유·육성우동",기준값!$B$2,""))</f>
        <v/>
      </c>
      <c r="V1061" s="6">
        <f>IF(AND(F1061&lt;&gt;"",F1061&gt;0,U1061&lt;&gt;""),ROUND((U1061-N(K1061))/(F1061/60),0),"")</f>
        <v/>
      </c>
      <c r="W1061" s="6">
        <f>IF(U1061&lt;&gt;"",ROUND(N(K1061)/U1061*100,1),"")</f>
        <v/>
      </c>
    </row>
    <row r="1062">
      <c r="A1062" s="3" t="n"/>
      <c r="B1062" s="4" t="n"/>
      <c r="C1062" s="4" t="n"/>
      <c r="D1062" s="5" t="n"/>
      <c r="E1062" s="5" t="n"/>
      <c r="F1062" s="6">
        <f>IF(AND(D1062&lt;&gt;"",E1062&lt;&gt;""),ROUND((E1062-D1062)*1440,0),"")</f>
        <v/>
      </c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6">
        <f>IF(C1062="착유장",기준값!$B$3,IF(C1062="건유·육성우동",기준값!$B$2,""))</f>
        <v/>
      </c>
      <c r="V1062" s="6">
        <f>IF(AND(F1062&lt;&gt;"",F1062&gt;0,U1062&lt;&gt;""),ROUND((U1062-N(K1062))/(F1062/60),0),"")</f>
        <v/>
      </c>
      <c r="W1062" s="6">
        <f>IF(U1062&lt;&gt;"",ROUND(N(K1062)/U1062*100,1),"")</f>
        <v/>
      </c>
    </row>
    <row r="1063">
      <c r="A1063" s="3" t="n"/>
      <c r="B1063" s="4" t="n"/>
      <c r="C1063" s="4" t="n"/>
      <c r="D1063" s="5" t="n"/>
      <c r="E1063" s="5" t="n"/>
      <c r="F1063" s="6">
        <f>IF(AND(D1063&lt;&gt;"",E1063&lt;&gt;""),ROUND((E1063-D1063)*1440,0),"")</f>
        <v/>
      </c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6">
        <f>IF(C1063="착유장",기준값!$B$3,IF(C1063="건유·육성우동",기준값!$B$2,""))</f>
        <v/>
      </c>
      <c r="V1063" s="6">
        <f>IF(AND(F1063&lt;&gt;"",F1063&gt;0,U1063&lt;&gt;""),ROUND((U1063-N(K1063))/(F1063/60),0),"")</f>
        <v/>
      </c>
      <c r="W1063" s="6">
        <f>IF(U1063&lt;&gt;"",ROUND(N(K1063)/U1063*100,1),"")</f>
        <v/>
      </c>
    </row>
    <row r="1064">
      <c r="A1064" s="3" t="n"/>
      <c r="B1064" s="4" t="n"/>
      <c r="C1064" s="4" t="n"/>
      <c r="D1064" s="5" t="n"/>
      <c r="E1064" s="5" t="n"/>
      <c r="F1064" s="6">
        <f>IF(AND(D1064&lt;&gt;"",E1064&lt;&gt;""),ROUND((E1064-D1064)*1440,0),"")</f>
        <v/>
      </c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6">
        <f>IF(C1064="착유장",기준값!$B$3,IF(C1064="건유·육성우동",기준값!$B$2,""))</f>
        <v/>
      </c>
      <c r="V1064" s="6">
        <f>IF(AND(F1064&lt;&gt;"",F1064&gt;0,U1064&lt;&gt;""),ROUND((U1064-N(K1064))/(F1064/60),0),"")</f>
        <v/>
      </c>
      <c r="W1064" s="6">
        <f>IF(U1064&lt;&gt;"",ROUND(N(K1064)/U1064*100,1),"")</f>
        <v/>
      </c>
    </row>
    <row r="1065">
      <c r="A1065" s="3" t="n"/>
      <c r="B1065" s="4" t="n"/>
      <c r="C1065" s="4" t="n"/>
      <c r="D1065" s="5" t="n"/>
      <c r="E1065" s="5" t="n"/>
      <c r="F1065" s="6">
        <f>IF(AND(D1065&lt;&gt;"",E1065&lt;&gt;""),ROUND((E1065-D1065)*1440,0),"")</f>
        <v/>
      </c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6">
        <f>IF(C1065="착유장",기준값!$B$3,IF(C1065="건유·육성우동",기준값!$B$2,""))</f>
        <v/>
      </c>
      <c r="V1065" s="6">
        <f>IF(AND(F1065&lt;&gt;"",F1065&gt;0,U1065&lt;&gt;""),ROUND((U1065-N(K1065))/(F1065/60),0),"")</f>
        <v/>
      </c>
      <c r="W1065" s="6">
        <f>IF(U1065&lt;&gt;"",ROUND(N(K1065)/U1065*100,1),"")</f>
        <v/>
      </c>
    </row>
    <row r="1066">
      <c r="A1066" s="3" t="n"/>
      <c r="B1066" s="4" t="n"/>
      <c r="C1066" s="4" t="n"/>
      <c r="D1066" s="5" t="n"/>
      <c r="E1066" s="5" t="n"/>
      <c r="F1066" s="6">
        <f>IF(AND(D1066&lt;&gt;"",E1066&lt;&gt;""),ROUND((E1066-D1066)*1440,0),"")</f>
        <v/>
      </c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6">
        <f>IF(C1066="착유장",기준값!$B$3,IF(C1066="건유·육성우동",기준값!$B$2,""))</f>
        <v/>
      </c>
      <c r="V1066" s="6">
        <f>IF(AND(F1066&lt;&gt;"",F1066&gt;0,U1066&lt;&gt;""),ROUND((U1066-N(K1066))/(F1066/60),0),"")</f>
        <v/>
      </c>
      <c r="W1066" s="6">
        <f>IF(U1066&lt;&gt;"",ROUND(N(K1066)/U1066*100,1),"")</f>
        <v/>
      </c>
    </row>
    <row r="1067">
      <c r="A1067" s="3" t="n"/>
      <c r="B1067" s="4" t="n"/>
      <c r="C1067" s="4" t="n"/>
      <c r="D1067" s="5" t="n"/>
      <c r="E1067" s="5" t="n"/>
      <c r="F1067" s="6">
        <f>IF(AND(D1067&lt;&gt;"",E1067&lt;&gt;""),ROUND((E1067-D1067)*1440,0),"")</f>
        <v/>
      </c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6">
        <f>IF(C1067="착유장",기준값!$B$3,IF(C1067="건유·육성우동",기준값!$B$2,""))</f>
        <v/>
      </c>
      <c r="V1067" s="6">
        <f>IF(AND(F1067&lt;&gt;"",F1067&gt;0,U1067&lt;&gt;""),ROUND((U1067-N(K1067))/(F1067/60),0),"")</f>
        <v/>
      </c>
      <c r="W1067" s="6">
        <f>IF(U1067&lt;&gt;"",ROUND(N(K1067)/U1067*100,1),"")</f>
        <v/>
      </c>
    </row>
    <row r="1068">
      <c r="A1068" s="3" t="n"/>
      <c r="B1068" s="4" t="n"/>
      <c r="C1068" s="4" t="n"/>
      <c r="D1068" s="5" t="n"/>
      <c r="E1068" s="5" t="n"/>
      <c r="F1068" s="6">
        <f>IF(AND(D1068&lt;&gt;"",E1068&lt;&gt;""),ROUND((E1068-D1068)*1440,0),"")</f>
        <v/>
      </c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6">
        <f>IF(C1068="착유장",기준값!$B$3,IF(C1068="건유·육성우동",기준값!$B$2,""))</f>
        <v/>
      </c>
      <c r="V1068" s="6">
        <f>IF(AND(F1068&lt;&gt;"",F1068&gt;0,U1068&lt;&gt;""),ROUND((U1068-N(K1068))/(F1068/60),0),"")</f>
        <v/>
      </c>
      <c r="W1068" s="6">
        <f>IF(U1068&lt;&gt;"",ROUND(N(K1068)/U1068*100,1),"")</f>
        <v/>
      </c>
    </row>
    <row r="1069">
      <c r="A1069" s="3" t="n"/>
      <c r="B1069" s="4" t="n"/>
      <c r="C1069" s="4" t="n"/>
      <c r="D1069" s="5" t="n"/>
      <c r="E1069" s="5" t="n"/>
      <c r="F1069" s="6">
        <f>IF(AND(D1069&lt;&gt;"",E1069&lt;&gt;""),ROUND((E1069-D1069)*1440,0),"")</f>
        <v/>
      </c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6">
        <f>IF(C1069="착유장",기준값!$B$3,IF(C1069="건유·육성우동",기준값!$B$2,""))</f>
        <v/>
      </c>
      <c r="V1069" s="6">
        <f>IF(AND(F1069&lt;&gt;"",F1069&gt;0,U1069&lt;&gt;""),ROUND((U1069-N(K1069))/(F1069/60),0),"")</f>
        <v/>
      </c>
      <c r="W1069" s="6">
        <f>IF(U1069&lt;&gt;"",ROUND(N(K1069)/U1069*100,1),"")</f>
        <v/>
      </c>
    </row>
    <row r="1070">
      <c r="A1070" s="3" t="n"/>
      <c r="B1070" s="4" t="n"/>
      <c r="C1070" s="4" t="n"/>
      <c r="D1070" s="5" t="n"/>
      <c r="E1070" s="5" t="n"/>
      <c r="F1070" s="6">
        <f>IF(AND(D1070&lt;&gt;"",E1070&lt;&gt;""),ROUND((E1070-D1070)*1440,0),"")</f>
        <v/>
      </c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6">
        <f>IF(C1070="착유장",기준값!$B$3,IF(C1070="건유·육성우동",기준값!$B$2,""))</f>
        <v/>
      </c>
      <c r="V1070" s="6">
        <f>IF(AND(F1070&lt;&gt;"",F1070&gt;0,U1070&lt;&gt;""),ROUND((U1070-N(K1070))/(F1070/60),0),"")</f>
        <v/>
      </c>
      <c r="W1070" s="6">
        <f>IF(U1070&lt;&gt;"",ROUND(N(K1070)/U1070*100,1),"")</f>
        <v/>
      </c>
    </row>
    <row r="1071">
      <c r="A1071" s="3" t="n"/>
      <c r="B1071" s="4" t="n"/>
      <c r="C1071" s="4" t="n"/>
      <c r="D1071" s="5" t="n"/>
      <c r="E1071" s="5" t="n"/>
      <c r="F1071" s="6">
        <f>IF(AND(D1071&lt;&gt;"",E1071&lt;&gt;""),ROUND((E1071-D1071)*1440,0),"")</f>
        <v/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6">
        <f>IF(C1071="착유장",기준값!$B$3,IF(C1071="건유·육성우동",기준값!$B$2,""))</f>
        <v/>
      </c>
      <c r="V1071" s="6">
        <f>IF(AND(F1071&lt;&gt;"",F1071&gt;0,U1071&lt;&gt;""),ROUND((U1071-N(K1071))/(F1071/60),0),"")</f>
        <v/>
      </c>
      <c r="W1071" s="6">
        <f>IF(U1071&lt;&gt;"",ROUND(N(K1071)/U1071*100,1),"")</f>
        <v/>
      </c>
    </row>
    <row r="1072">
      <c r="A1072" s="3" t="n"/>
      <c r="B1072" s="4" t="n"/>
      <c r="C1072" s="4" t="n"/>
      <c r="D1072" s="5" t="n"/>
      <c r="E1072" s="5" t="n"/>
      <c r="F1072" s="6">
        <f>IF(AND(D1072&lt;&gt;"",E1072&lt;&gt;""),ROUND((E1072-D1072)*1440,0),"")</f>
        <v/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6">
        <f>IF(C1072="착유장",기준값!$B$3,IF(C1072="건유·육성우동",기준값!$B$2,""))</f>
        <v/>
      </c>
      <c r="V1072" s="6">
        <f>IF(AND(F1072&lt;&gt;"",F1072&gt;0,U1072&lt;&gt;""),ROUND((U1072-N(K1072))/(F1072/60),0),"")</f>
        <v/>
      </c>
      <c r="W1072" s="6">
        <f>IF(U1072&lt;&gt;"",ROUND(N(K1072)/U1072*100,1),"")</f>
        <v/>
      </c>
    </row>
    <row r="1073">
      <c r="A1073" s="3" t="n"/>
      <c r="B1073" s="4" t="n"/>
      <c r="C1073" s="4" t="n"/>
      <c r="D1073" s="5" t="n"/>
      <c r="E1073" s="5" t="n"/>
      <c r="F1073" s="6">
        <f>IF(AND(D1073&lt;&gt;"",E1073&lt;&gt;""),ROUND((E1073-D1073)*1440,0),"")</f>
        <v/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6">
        <f>IF(C1073="착유장",기준값!$B$3,IF(C1073="건유·육성우동",기준값!$B$2,""))</f>
        <v/>
      </c>
      <c r="V1073" s="6">
        <f>IF(AND(F1073&lt;&gt;"",F1073&gt;0,U1073&lt;&gt;""),ROUND((U1073-N(K1073))/(F1073/60),0),"")</f>
        <v/>
      </c>
      <c r="W1073" s="6">
        <f>IF(U1073&lt;&gt;"",ROUND(N(K1073)/U1073*100,1),"")</f>
        <v/>
      </c>
    </row>
    <row r="1074">
      <c r="A1074" s="3" t="n"/>
      <c r="B1074" s="4" t="n"/>
      <c r="C1074" s="4" t="n"/>
      <c r="D1074" s="5" t="n"/>
      <c r="E1074" s="5" t="n"/>
      <c r="F1074" s="6">
        <f>IF(AND(D1074&lt;&gt;"",E1074&lt;&gt;""),ROUND((E1074-D1074)*1440,0),"")</f>
        <v/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6">
        <f>IF(C1074="착유장",기준값!$B$3,IF(C1074="건유·육성우동",기준값!$B$2,""))</f>
        <v/>
      </c>
      <c r="V1074" s="6">
        <f>IF(AND(F1074&lt;&gt;"",F1074&gt;0,U1074&lt;&gt;""),ROUND((U1074-N(K1074))/(F1074/60),0),"")</f>
        <v/>
      </c>
      <c r="W1074" s="6">
        <f>IF(U1074&lt;&gt;"",ROUND(N(K1074)/U1074*100,1),"")</f>
        <v/>
      </c>
    </row>
    <row r="1075">
      <c r="A1075" s="3" t="n"/>
      <c r="B1075" s="4" t="n"/>
      <c r="C1075" s="4" t="n"/>
      <c r="D1075" s="5" t="n"/>
      <c r="E1075" s="5" t="n"/>
      <c r="F1075" s="6">
        <f>IF(AND(D1075&lt;&gt;"",E1075&lt;&gt;""),ROUND((E1075-D1075)*1440,0),"")</f>
        <v/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6">
        <f>IF(C1075="착유장",기준값!$B$3,IF(C1075="건유·육성우동",기준값!$B$2,""))</f>
        <v/>
      </c>
      <c r="V1075" s="6">
        <f>IF(AND(F1075&lt;&gt;"",F1075&gt;0,U1075&lt;&gt;""),ROUND((U1075-N(K1075))/(F1075/60),0),"")</f>
        <v/>
      </c>
      <c r="W1075" s="6">
        <f>IF(U1075&lt;&gt;"",ROUND(N(K1075)/U1075*100,1),"")</f>
        <v/>
      </c>
    </row>
    <row r="1076">
      <c r="A1076" s="3" t="n"/>
      <c r="B1076" s="4" t="n"/>
      <c r="C1076" s="4" t="n"/>
      <c r="D1076" s="5" t="n"/>
      <c r="E1076" s="5" t="n"/>
      <c r="F1076" s="6">
        <f>IF(AND(D1076&lt;&gt;"",E1076&lt;&gt;""),ROUND((E1076-D1076)*1440,0),"")</f>
        <v/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6">
        <f>IF(C1076="착유장",기준값!$B$3,IF(C1076="건유·육성우동",기준값!$B$2,""))</f>
        <v/>
      </c>
      <c r="V1076" s="6">
        <f>IF(AND(F1076&lt;&gt;"",F1076&gt;0,U1076&lt;&gt;""),ROUND((U1076-N(K1076))/(F1076/60),0),"")</f>
        <v/>
      </c>
      <c r="W1076" s="6">
        <f>IF(U1076&lt;&gt;"",ROUND(N(K1076)/U1076*100,1),"")</f>
        <v/>
      </c>
    </row>
    <row r="1077">
      <c r="A1077" s="3" t="n"/>
      <c r="B1077" s="4" t="n"/>
      <c r="C1077" s="4" t="n"/>
      <c r="D1077" s="5" t="n"/>
      <c r="E1077" s="5" t="n"/>
      <c r="F1077" s="6">
        <f>IF(AND(D1077&lt;&gt;"",E1077&lt;&gt;""),ROUND((E1077-D1077)*1440,0),"")</f>
        <v/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6">
        <f>IF(C1077="착유장",기준값!$B$3,IF(C1077="건유·육성우동",기준값!$B$2,""))</f>
        <v/>
      </c>
      <c r="V1077" s="6">
        <f>IF(AND(F1077&lt;&gt;"",F1077&gt;0,U1077&lt;&gt;""),ROUND((U1077-N(K1077))/(F1077/60),0),"")</f>
        <v/>
      </c>
      <c r="W1077" s="6">
        <f>IF(U1077&lt;&gt;"",ROUND(N(K1077)/U1077*100,1),"")</f>
        <v/>
      </c>
    </row>
    <row r="1078">
      <c r="A1078" s="3" t="n"/>
      <c r="B1078" s="4" t="n"/>
      <c r="C1078" s="4" t="n"/>
      <c r="D1078" s="5" t="n"/>
      <c r="E1078" s="5" t="n"/>
      <c r="F1078" s="6">
        <f>IF(AND(D1078&lt;&gt;"",E1078&lt;&gt;""),ROUND((E1078-D1078)*1440,0),"")</f>
        <v/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6">
        <f>IF(C1078="착유장",기준값!$B$3,IF(C1078="건유·육성우동",기준값!$B$2,""))</f>
        <v/>
      </c>
      <c r="V1078" s="6">
        <f>IF(AND(F1078&lt;&gt;"",F1078&gt;0,U1078&lt;&gt;""),ROUND((U1078-N(K1078))/(F1078/60),0),"")</f>
        <v/>
      </c>
      <c r="W1078" s="6">
        <f>IF(U1078&lt;&gt;"",ROUND(N(K1078)/U1078*100,1),"")</f>
        <v/>
      </c>
    </row>
    <row r="1079">
      <c r="A1079" s="3" t="n"/>
      <c r="B1079" s="4" t="n"/>
      <c r="C1079" s="4" t="n"/>
      <c r="D1079" s="5" t="n"/>
      <c r="E1079" s="5" t="n"/>
      <c r="F1079" s="6">
        <f>IF(AND(D1079&lt;&gt;"",E1079&lt;&gt;""),ROUND((E1079-D1079)*1440,0),"")</f>
        <v/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6">
        <f>IF(C1079="착유장",기준값!$B$3,IF(C1079="건유·육성우동",기준값!$B$2,""))</f>
        <v/>
      </c>
      <c r="V1079" s="6">
        <f>IF(AND(F1079&lt;&gt;"",F1079&gt;0,U1079&lt;&gt;""),ROUND((U1079-N(K1079))/(F1079/60),0),"")</f>
        <v/>
      </c>
      <c r="W1079" s="6">
        <f>IF(U1079&lt;&gt;"",ROUND(N(K1079)/U1079*100,1),"")</f>
        <v/>
      </c>
    </row>
    <row r="1080">
      <c r="A1080" s="3" t="n"/>
      <c r="B1080" s="4" t="n"/>
      <c r="C1080" s="4" t="n"/>
      <c r="D1080" s="5" t="n"/>
      <c r="E1080" s="5" t="n"/>
      <c r="F1080" s="6">
        <f>IF(AND(D1080&lt;&gt;"",E1080&lt;&gt;""),ROUND((E1080-D1080)*1440,0),"")</f>
        <v/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6">
        <f>IF(C1080="착유장",기준값!$B$3,IF(C1080="건유·육성우동",기준값!$B$2,""))</f>
        <v/>
      </c>
      <c r="V1080" s="6">
        <f>IF(AND(F1080&lt;&gt;"",F1080&gt;0,U1080&lt;&gt;""),ROUND((U1080-N(K1080))/(F1080/60),0),"")</f>
        <v/>
      </c>
      <c r="W1080" s="6">
        <f>IF(U1080&lt;&gt;"",ROUND(N(K1080)/U1080*100,1),"")</f>
        <v/>
      </c>
    </row>
    <row r="1081">
      <c r="A1081" s="3" t="n"/>
      <c r="B1081" s="4" t="n"/>
      <c r="C1081" s="4" t="n"/>
      <c r="D1081" s="5" t="n"/>
      <c r="E1081" s="5" t="n"/>
      <c r="F1081" s="6">
        <f>IF(AND(D1081&lt;&gt;"",E1081&lt;&gt;""),ROUND((E1081-D1081)*1440,0),"")</f>
        <v/>
      </c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6">
        <f>IF(C1081="착유장",기준값!$B$3,IF(C1081="건유·육성우동",기준값!$B$2,""))</f>
        <v/>
      </c>
      <c r="V1081" s="6">
        <f>IF(AND(F1081&lt;&gt;"",F1081&gt;0,U1081&lt;&gt;""),ROUND((U1081-N(K1081))/(F1081/60),0),"")</f>
        <v/>
      </c>
      <c r="W1081" s="6">
        <f>IF(U1081&lt;&gt;"",ROUND(N(K1081)/U1081*100,1),"")</f>
        <v/>
      </c>
    </row>
    <row r="1082">
      <c r="A1082" s="3" t="n"/>
      <c r="B1082" s="4" t="n"/>
      <c r="C1082" s="4" t="n"/>
      <c r="D1082" s="5" t="n"/>
      <c r="E1082" s="5" t="n"/>
      <c r="F1082" s="6">
        <f>IF(AND(D1082&lt;&gt;"",E1082&lt;&gt;""),ROUND((E1082-D1082)*1440,0),"")</f>
        <v/>
      </c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6">
        <f>IF(C1082="착유장",기준값!$B$3,IF(C1082="건유·육성우동",기준값!$B$2,""))</f>
        <v/>
      </c>
      <c r="V1082" s="6">
        <f>IF(AND(F1082&lt;&gt;"",F1082&gt;0,U1082&lt;&gt;""),ROUND((U1082-N(K1082))/(F1082/60),0),"")</f>
        <v/>
      </c>
      <c r="W1082" s="6">
        <f>IF(U1082&lt;&gt;"",ROUND(N(K1082)/U1082*100,1),"")</f>
        <v/>
      </c>
    </row>
    <row r="1083">
      <c r="A1083" s="3" t="n"/>
      <c r="B1083" s="4" t="n"/>
      <c r="C1083" s="4" t="n"/>
      <c r="D1083" s="5" t="n"/>
      <c r="E1083" s="5" t="n"/>
      <c r="F1083" s="6">
        <f>IF(AND(D1083&lt;&gt;"",E1083&lt;&gt;""),ROUND((E1083-D1083)*1440,0),"")</f>
        <v/>
      </c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6">
        <f>IF(C1083="착유장",기준값!$B$3,IF(C1083="건유·육성우동",기준값!$B$2,""))</f>
        <v/>
      </c>
      <c r="V1083" s="6">
        <f>IF(AND(F1083&lt;&gt;"",F1083&gt;0,U1083&lt;&gt;""),ROUND((U1083-N(K1083))/(F1083/60),0),"")</f>
        <v/>
      </c>
      <c r="W1083" s="6">
        <f>IF(U1083&lt;&gt;"",ROUND(N(K1083)/U1083*100,1),"")</f>
        <v/>
      </c>
    </row>
    <row r="1084">
      <c r="A1084" s="3" t="n"/>
      <c r="B1084" s="4" t="n"/>
      <c r="C1084" s="4" t="n"/>
      <c r="D1084" s="5" t="n"/>
      <c r="E1084" s="5" t="n"/>
      <c r="F1084" s="6">
        <f>IF(AND(D1084&lt;&gt;"",E1084&lt;&gt;""),ROUND((E1084-D1084)*1440,0),"")</f>
        <v/>
      </c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6">
        <f>IF(C1084="착유장",기준값!$B$3,IF(C1084="건유·육성우동",기준값!$B$2,""))</f>
        <v/>
      </c>
      <c r="V1084" s="6">
        <f>IF(AND(F1084&lt;&gt;"",F1084&gt;0,U1084&lt;&gt;""),ROUND((U1084-N(K1084))/(F1084/60),0),"")</f>
        <v/>
      </c>
      <c r="W1084" s="6">
        <f>IF(U1084&lt;&gt;"",ROUND(N(K1084)/U1084*100,1),"")</f>
        <v/>
      </c>
    </row>
    <row r="1085">
      <c r="A1085" s="3" t="n"/>
      <c r="B1085" s="4" t="n"/>
      <c r="C1085" s="4" t="n"/>
      <c r="D1085" s="5" t="n"/>
      <c r="E1085" s="5" t="n"/>
      <c r="F1085" s="6">
        <f>IF(AND(D1085&lt;&gt;"",E1085&lt;&gt;""),ROUND((E1085-D1085)*1440,0),"")</f>
        <v/>
      </c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6">
        <f>IF(C1085="착유장",기준값!$B$3,IF(C1085="건유·육성우동",기준값!$B$2,""))</f>
        <v/>
      </c>
      <c r="V1085" s="6">
        <f>IF(AND(F1085&lt;&gt;"",F1085&gt;0,U1085&lt;&gt;""),ROUND((U1085-N(K1085))/(F1085/60),0),"")</f>
        <v/>
      </c>
      <c r="W1085" s="6">
        <f>IF(U1085&lt;&gt;"",ROUND(N(K1085)/U1085*100,1),"")</f>
        <v/>
      </c>
    </row>
    <row r="1086">
      <c r="A1086" s="3" t="n"/>
      <c r="B1086" s="4" t="n"/>
      <c r="C1086" s="4" t="n"/>
      <c r="D1086" s="5" t="n"/>
      <c r="E1086" s="5" t="n"/>
      <c r="F1086" s="6">
        <f>IF(AND(D1086&lt;&gt;"",E1086&lt;&gt;""),ROUND((E1086-D1086)*1440,0),"")</f>
        <v/>
      </c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6">
        <f>IF(C1086="착유장",기준값!$B$3,IF(C1086="건유·육성우동",기준값!$B$2,""))</f>
        <v/>
      </c>
      <c r="V1086" s="6">
        <f>IF(AND(F1086&lt;&gt;"",F1086&gt;0,U1086&lt;&gt;""),ROUND((U1086-N(K1086))/(F1086/60),0),"")</f>
        <v/>
      </c>
      <c r="W1086" s="6">
        <f>IF(U1086&lt;&gt;"",ROUND(N(K1086)/U1086*100,1),"")</f>
        <v/>
      </c>
    </row>
    <row r="1087">
      <c r="A1087" s="3" t="n"/>
      <c r="B1087" s="4" t="n"/>
      <c r="C1087" s="4" t="n"/>
      <c r="D1087" s="5" t="n"/>
      <c r="E1087" s="5" t="n"/>
      <c r="F1087" s="6">
        <f>IF(AND(D1087&lt;&gt;"",E1087&lt;&gt;""),ROUND((E1087-D1087)*1440,0),"")</f>
        <v/>
      </c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6">
        <f>IF(C1087="착유장",기준값!$B$3,IF(C1087="건유·육성우동",기준값!$B$2,""))</f>
        <v/>
      </c>
      <c r="V1087" s="6">
        <f>IF(AND(F1087&lt;&gt;"",F1087&gt;0,U1087&lt;&gt;""),ROUND((U1087-N(K1087))/(F1087/60),0),"")</f>
        <v/>
      </c>
      <c r="W1087" s="6">
        <f>IF(U1087&lt;&gt;"",ROUND(N(K1087)/U1087*100,1),"")</f>
        <v/>
      </c>
    </row>
    <row r="1088">
      <c r="A1088" s="3" t="n"/>
      <c r="B1088" s="4" t="n"/>
      <c r="C1088" s="4" t="n"/>
      <c r="D1088" s="5" t="n"/>
      <c r="E1088" s="5" t="n"/>
      <c r="F1088" s="6">
        <f>IF(AND(D1088&lt;&gt;"",E1088&lt;&gt;""),ROUND((E1088-D1088)*1440,0),"")</f>
        <v/>
      </c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6">
        <f>IF(C1088="착유장",기준값!$B$3,IF(C1088="건유·육성우동",기준값!$B$2,""))</f>
        <v/>
      </c>
      <c r="V1088" s="6">
        <f>IF(AND(F1088&lt;&gt;"",F1088&gt;0,U1088&lt;&gt;""),ROUND((U1088-N(K1088))/(F1088/60),0),"")</f>
        <v/>
      </c>
      <c r="W1088" s="6">
        <f>IF(U1088&lt;&gt;"",ROUND(N(K1088)/U1088*100,1),"")</f>
        <v/>
      </c>
    </row>
    <row r="1089">
      <c r="A1089" s="3" t="n"/>
      <c r="B1089" s="4" t="n"/>
      <c r="C1089" s="4" t="n"/>
      <c r="D1089" s="5" t="n"/>
      <c r="E1089" s="5" t="n"/>
      <c r="F1089" s="6">
        <f>IF(AND(D1089&lt;&gt;"",E1089&lt;&gt;""),ROUND((E1089-D1089)*1440,0),"")</f>
        <v/>
      </c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6">
        <f>IF(C1089="착유장",기준값!$B$3,IF(C1089="건유·육성우동",기준값!$B$2,""))</f>
        <v/>
      </c>
      <c r="V1089" s="6">
        <f>IF(AND(F1089&lt;&gt;"",F1089&gt;0,U1089&lt;&gt;""),ROUND((U1089-N(K1089))/(F1089/60),0),"")</f>
        <v/>
      </c>
      <c r="W1089" s="6">
        <f>IF(U1089&lt;&gt;"",ROUND(N(K1089)/U1089*100,1),"")</f>
        <v/>
      </c>
    </row>
    <row r="1090">
      <c r="A1090" s="3" t="n"/>
      <c r="B1090" s="4" t="n"/>
      <c r="C1090" s="4" t="n"/>
      <c r="D1090" s="5" t="n"/>
      <c r="E1090" s="5" t="n"/>
      <c r="F1090" s="6">
        <f>IF(AND(D1090&lt;&gt;"",E1090&lt;&gt;""),ROUND((E1090-D1090)*1440,0),"")</f>
        <v/>
      </c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6">
        <f>IF(C1090="착유장",기준값!$B$3,IF(C1090="건유·육성우동",기준값!$B$2,""))</f>
        <v/>
      </c>
      <c r="V1090" s="6">
        <f>IF(AND(F1090&lt;&gt;"",F1090&gt;0,U1090&lt;&gt;""),ROUND((U1090-N(K1090))/(F1090/60),0),"")</f>
        <v/>
      </c>
      <c r="W1090" s="6">
        <f>IF(U1090&lt;&gt;"",ROUND(N(K1090)/U1090*100,1),"")</f>
        <v/>
      </c>
    </row>
    <row r="1091">
      <c r="A1091" s="3" t="n"/>
      <c r="B1091" s="4" t="n"/>
      <c r="C1091" s="4" t="n"/>
      <c r="D1091" s="5" t="n"/>
      <c r="E1091" s="5" t="n"/>
      <c r="F1091" s="6">
        <f>IF(AND(D1091&lt;&gt;"",E1091&lt;&gt;""),ROUND((E1091-D1091)*1440,0),"")</f>
        <v/>
      </c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6">
        <f>IF(C1091="착유장",기준값!$B$3,IF(C1091="건유·육성우동",기준값!$B$2,""))</f>
        <v/>
      </c>
      <c r="V1091" s="6">
        <f>IF(AND(F1091&lt;&gt;"",F1091&gt;0,U1091&lt;&gt;""),ROUND((U1091-N(K1091))/(F1091/60),0),"")</f>
        <v/>
      </c>
      <c r="W1091" s="6">
        <f>IF(U1091&lt;&gt;"",ROUND(N(K1091)/U1091*100,1),"")</f>
        <v/>
      </c>
    </row>
    <row r="1092">
      <c r="A1092" s="3" t="n"/>
      <c r="B1092" s="4" t="n"/>
      <c r="C1092" s="4" t="n"/>
      <c r="D1092" s="5" t="n"/>
      <c r="E1092" s="5" t="n"/>
      <c r="F1092" s="6">
        <f>IF(AND(D1092&lt;&gt;"",E1092&lt;&gt;""),ROUND((E1092-D1092)*1440,0),"")</f>
        <v/>
      </c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6">
        <f>IF(C1092="착유장",기준값!$B$3,IF(C1092="건유·육성우동",기준값!$B$2,""))</f>
        <v/>
      </c>
      <c r="V1092" s="6">
        <f>IF(AND(F1092&lt;&gt;"",F1092&gt;0,U1092&lt;&gt;""),ROUND((U1092-N(K1092))/(F1092/60),0),"")</f>
        <v/>
      </c>
      <c r="W1092" s="6">
        <f>IF(U1092&lt;&gt;"",ROUND(N(K1092)/U1092*100,1),"")</f>
        <v/>
      </c>
    </row>
    <row r="1093">
      <c r="A1093" s="3" t="n"/>
      <c r="B1093" s="4" t="n"/>
      <c r="C1093" s="4" t="n"/>
      <c r="D1093" s="5" t="n"/>
      <c r="E1093" s="5" t="n"/>
      <c r="F1093" s="6">
        <f>IF(AND(D1093&lt;&gt;"",E1093&lt;&gt;""),ROUND((E1093-D1093)*1440,0),"")</f>
        <v/>
      </c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6">
        <f>IF(C1093="착유장",기준값!$B$3,IF(C1093="건유·육성우동",기준값!$B$2,""))</f>
        <v/>
      </c>
      <c r="V1093" s="6">
        <f>IF(AND(F1093&lt;&gt;"",F1093&gt;0,U1093&lt;&gt;""),ROUND((U1093-N(K1093))/(F1093/60),0),"")</f>
        <v/>
      </c>
      <c r="W1093" s="6">
        <f>IF(U1093&lt;&gt;"",ROUND(N(K1093)/U1093*100,1),"")</f>
        <v/>
      </c>
    </row>
    <row r="1094">
      <c r="A1094" s="3" t="n"/>
      <c r="B1094" s="4" t="n"/>
      <c r="C1094" s="4" t="n"/>
      <c r="D1094" s="5" t="n"/>
      <c r="E1094" s="5" t="n"/>
      <c r="F1094" s="6">
        <f>IF(AND(D1094&lt;&gt;"",E1094&lt;&gt;""),ROUND((E1094-D1094)*1440,0),"")</f>
        <v/>
      </c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6">
        <f>IF(C1094="착유장",기준값!$B$3,IF(C1094="건유·육성우동",기준값!$B$2,""))</f>
        <v/>
      </c>
      <c r="V1094" s="6">
        <f>IF(AND(F1094&lt;&gt;"",F1094&gt;0,U1094&lt;&gt;""),ROUND((U1094-N(K1094))/(F1094/60),0),"")</f>
        <v/>
      </c>
      <c r="W1094" s="6">
        <f>IF(U1094&lt;&gt;"",ROUND(N(K1094)/U1094*100,1),"")</f>
        <v/>
      </c>
    </row>
    <row r="1095">
      <c r="A1095" s="3" t="n"/>
      <c r="B1095" s="4" t="n"/>
      <c r="C1095" s="4" t="n"/>
      <c r="D1095" s="5" t="n"/>
      <c r="E1095" s="5" t="n"/>
      <c r="F1095" s="6">
        <f>IF(AND(D1095&lt;&gt;"",E1095&lt;&gt;""),ROUND((E1095-D1095)*1440,0),"")</f>
        <v/>
      </c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6">
        <f>IF(C1095="착유장",기준값!$B$3,IF(C1095="건유·육성우동",기준값!$B$2,""))</f>
        <v/>
      </c>
      <c r="V1095" s="6">
        <f>IF(AND(F1095&lt;&gt;"",F1095&gt;0,U1095&lt;&gt;""),ROUND((U1095-N(K1095))/(F1095/60),0),"")</f>
        <v/>
      </c>
      <c r="W1095" s="6">
        <f>IF(U1095&lt;&gt;"",ROUND(N(K1095)/U1095*100,1),"")</f>
        <v/>
      </c>
    </row>
    <row r="1096">
      <c r="A1096" s="3" t="n"/>
      <c r="B1096" s="4" t="n"/>
      <c r="C1096" s="4" t="n"/>
      <c r="D1096" s="5" t="n"/>
      <c r="E1096" s="5" t="n"/>
      <c r="F1096" s="6">
        <f>IF(AND(D1096&lt;&gt;"",E1096&lt;&gt;""),ROUND((E1096-D1096)*1440,0),"")</f>
        <v/>
      </c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6">
        <f>IF(C1096="착유장",기준값!$B$3,IF(C1096="건유·육성우동",기준값!$B$2,""))</f>
        <v/>
      </c>
      <c r="V1096" s="6">
        <f>IF(AND(F1096&lt;&gt;"",F1096&gt;0,U1096&lt;&gt;""),ROUND((U1096-N(K1096))/(F1096/60),0),"")</f>
        <v/>
      </c>
      <c r="W1096" s="6">
        <f>IF(U1096&lt;&gt;"",ROUND(N(K1096)/U1096*100,1),"")</f>
        <v/>
      </c>
    </row>
    <row r="1097">
      <c r="A1097" s="3" t="n"/>
      <c r="B1097" s="4" t="n"/>
      <c r="C1097" s="4" t="n"/>
      <c r="D1097" s="5" t="n"/>
      <c r="E1097" s="5" t="n"/>
      <c r="F1097" s="6">
        <f>IF(AND(D1097&lt;&gt;"",E1097&lt;&gt;""),ROUND((E1097-D1097)*1440,0),"")</f>
        <v/>
      </c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6">
        <f>IF(C1097="착유장",기준값!$B$3,IF(C1097="건유·육성우동",기준값!$B$2,""))</f>
        <v/>
      </c>
      <c r="V1097" s="6">
        <f>IF(AND(F1097&lt;&gt;"",F1097&gt;0,U1097&lt;&gt;""),ROUND((U1097-N(K1097))/(F1097/60),0),"")</f>
        <v/>
      </c>
      <c r="W1097" s="6">
        <f>IF(U1097&lt;&gt;"",ROUND(N(K1097)/U1097*100,1),"")</f>
        <v/>
      </c>
    </row>
    <row r="1098">
      <c r="A1098" s="3" t="n"/>
      <c r="B1098" s="4" t="n"/>
      <c r="C1098" s="4" t="n"/>
      <c r="D1098" s="5" t="n"/>
      <c r="E1098" s="5" t="n"/>
      <c r="F1098" s="6">
        <f>IF(AND(D1098&lt;&gt;"",E1098&lt;&gt;""),ROUND((E1098-D1098)*1440,0),"")</f>
        <v/>
      </c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6">
        <f>IF(C1098="착유장",기준값!$B$3,IF(C1098="건유·육성우동",기준값!$B$2,""))</f>
        <v/>
      </c>
      <c r="V1098" s="6">
        <f>IF(AND(F1098&lt;&gt;"",F1098&gt;0,U1098&lt;&gt;""),ROUND((U1098-N(K1098))/(F1098/60),0),"")</f>
        <v/>
      </c>
      <c r="W1098" s="6">
        <f>IF(U1098&lt;&gt;"",ROUND(N(K1098)/U1098*100,1),"")</f>
        <v/>
      </c>
    </row>
    <row r="1099">
      <c r="A1099" s="3" t="n"/>
      <c r="B1099" s="4" t="n"/>
      <c r="C1099" s="4" t="n"/>
      <c r="D1099" s="5" t="n"/>
      <c r="E1099" s="5" t="n"/>
      <c r="F1099" s="6">
        <f>IF(AND(D1099&lt;&gt;"",E1099&lt;&gt;""),ROUND((E1099-D1099)*1440,0),"")</f>
        <v/>
      </c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6">
        <f>IF(C1099="착유장",기준값!$B$3,IF(C1099="건유·육성우동",기준값!$B$2,""))</f>
        <v/>
      </c>
      <c r="V1099" s="6">
        <f>IF(AND(F1099&lt;&gt;"",F1099&gt;0,U1099&lt;&gt;""),ROUND((U1099-N(K1099))/(F1099/60),0),"")</f>
        <v/>
      </c>
      <c r="W1099" s="6">
        <f>IF(U1099&lt;&gt;"",ROUND(N(K1099)/U1099*100,1),"")</f>
        <v/>
      </c>
    </row>
    <row r="1100">
      <c r="A1100" s="3" t="n"/>
      <c r="B1100" s="4" t="n"/>
      <c r="C1100" s="4" t="n"/>
      <c r="D1100" s="5" t="n"/>
      <c r="E1100" s="5" t="n"/>
      <c r="F1100" s="6">
        <f>IF(AND(D1100&lt;&gt;"",E1100&lt;&gt;""),ROUND((E1100-D1100)*1440,0),"")</f>
        <v/>
      </c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6">
        <f>IF(C1100="착유장",기준값!$B$3,IF(C1100="건유·육성우동",기준값!$B$2,""))</f>
        <v/>
      </c>
      <c r="V1100" s="6">
        <f>IF(AND(F1100&lt;&gt;"",F1100&gt;0,U1100&lt;&gt;""),ROUND((U1100-N(K1100))/(F1100/60),0),"")</f>
        <v/>
      </c>
      <c r="W1100" s="6">
        <f>IF(U1100&lt;&gt;"",ROUND(N(K1100)/U1100*100,1),"")</f>
        <v/>
      </c>
    </row>
    <row r="1101">
      <c r="A1101" s="3" t="n"/>
      <c r="B1101" s="4" t="n"/>
      <c r="C1101" s="4" t="n"/>
      <c r="D1101" s="5" t="n"/>
      <c r="E1101" s="5" t="n"/>
      <c r="F1101" s="6">
        <f>IF(AND(D1101&lt;&gt;"",E1101&lt;&gt;""),ROUND((E1101-D1101)*1440,0),"")</f>
        <v/>
      </c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6">
        <f>IF(C1101="착유장",기준값!$B$3,IF(C1101="건유·육성우동",기준값!$B$2,""))</f>
        <v/>
      </c>
      <c r="V1101" s="6">
        <f>IF(AND(F1101&lt;&gt;"",F1101&gt;0,U1101&lt;&gt;""),ROUND((U1101-N(K1101))/(F1101/60),0),"")</f>
        <v/>
      </c>
      <c r="W1101" s="6">
        <f>IF(U1101&lt;&gt;"",ROUND(N(K1101)/U1101*100,1),"")</f>
        <v/>
      </c>
    </row>
    <row r="1102">
      <c r="A1102" s="3" t="n"/>
      <c r="B1102" s="4" t="n"/>
      <c r="C1102" s="4" t="n"/>
      <c r="D1102" s="5" t="n"/>
      <c r="E1102" s="5" t="n"/>
      <c r="F1102" s="6">
        <f>IF(AND(D1102&lt;&gt;"",E1102&lt;&gt;""),ROUND((E1102-D1102)*1440,0),"")</f>
        <v/>
      </c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6">
        <f>IF(C1102="착유장",기준값!$B$3,IF(C1102="건유·육성우동",기준값!$B$2,""))</f>
        <v/>
      </c>
      <c r="V1102" s="6">
        <f>IF(AND(F1102&lt;&gt;"",F1102&gt;0,U1102&lt;&gt;""),ROUND((U1102-N(K1102))/(F1102/60),0),"")</f>
        <v/>
      </c>
      <c r="W1102" s="6">
        <f>IF(U1102&lt;&gt;"",ROUND(N(K1102)/U1102*100,1),"")</f>
        <v/>
      </c>
    </row>
    <row r="1103">
      <c r="A1103" s="3" t="n"/>
      <c r="B1103" s="4" t="n"/>
      <c r="C1103" s="4" t="n"/>
      <c r="D1103" s="5" t="n"/>
      <c r="E1103" s="5" t="n"/>
      <c r="F1103" s="6">
        <f>IF(AND(D1103&lt;&gt;"",E1103&lt;&gt;""),ROUND((E1103-D1103)*1440,0),"")</f>
        <v/>
      </c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6">
        <f>IF(C1103="착유장",기준값!$B$3,IF(C1103="건유·육성우동",기준값!$B$2,""))</f>
        <v/>
      </c>
      <c r="V1103" s="6">
        <f>IF(AND(F1103&lt;&gt;"",F1103&gt;0,U1103&lt;&gt;""),ROUND((U1103-N(K1103))/(F1103/60),0),"")</f>
        <v/>
      </c>
      <c r="W1103" s="6">
        <f>IF(U1103&lt;&gt;"",ROUND(N(K1103)/U1103*100,1),"")</f>
        <v/>
      </c>
    </row>
    <row r="1104">
      <c r="A1104" s="3" t="n"/>
      <c r="B1104" s="4" t="n"/>
      <c r="C1104" s="4" t="n"/>
      <c r="D1104" s="5" t="n"/>
      <c r="E1104" s="5" t="n"/>
      <c r="F1104" s="6">
        <f>IF(AND(D1104&lt;&gt;"",E1104&lt;&gt;""),ROUND((E1104-D1104)*1440,0),"")</f>
        <v/>
      </c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6">
        <f>IF(C1104="착유장",기준값!$B$3,IF(C1104="건유·육성우동",기준값!$B$2,""))</f>
        <v/>
      </c>
      <c r="V1104" s="6">
        <f>IF(AND(F1104&lt;&gt;"",F1104&gt;0,U1104&lt;&gt;""),ROUND((U1104-N(K1104))/(F1104/60),0),"")</f>
        <v/>
      </c>
      <c r="W1104" s="6">
        <f>IF(U1104&lt;&gt;"",ROUND(N(K1104)/U1104*100,1),"")</f>
        <v/>
      </c>
    </row>
    <row r="1105">
      <c r="A1105" s="3" t="n"/>
      <c r="B1105" s="4" t="n"/>
      <c r="C1105" s="4" t="n"/>
      <c r="D1105" s="5" t="n"/>
      <c r="E1105" s="5" t="n"/>
      <c r="F1105" s="6">
        <f>IF(AND(D1105&lt;&gt;"",E1105&lt;&gt;""),ROUND((E1105-D1105)*1440,0),"")</f>
        <v/>
      </c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6">
        <f>IF(C1105="착유장",기준값!$B$3,IF(C1105="건유·육성우동",기준값!$B$2,""))</f>
        <v/>
      </c>
      <c r="V1105" s="6">
        <f>IF(AND(F1105&lt;&gt;"",F1105&gt;0,U1105&lt;&gt;""),ROUND((U1105-N(K1105))/(F1105/60),0),"")</f>
        <v/>
      </c>
      <c r="W1105" s="6">
        <f>IF(U1105&lt;&gt;"",ROUND(N(K1105)/U1105*100,1),"")</f>
        <v/>
      </c>
    </row>
    <row r="1106">
      <c r="A1106" s="3" t="n"/>
      <c r="B1106" s="4" t="n"/>
      <c r="C1106" s="4" t="n"/>
      <c r="D1106" s="5" t="n"/>
      <c r="E1106" s="5" t="n"/>
      <c r="F1106" s="6">
        <f>IF(AND(D1106&lt;&gt;"",E1106&lt;&gt;""),ROUND((E1106-D1106)*1440,0),"")</f>
        <v/>
      </c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6">
        <f>IF(C1106="착유장",기준값!$B$3,IF(C1106="건유·육성우동",기준값!$B$2,""))</f>
        <v/>
      </c>
      <c r="V1106" s="6">
        <f>IF(AND(F1106&lt;&gt;"",F1106&gt;0,U1106&lt;&gt;""),ROUND((U1106-N(K1106))/(F1106/60),0),"")</f>
        <v/>
      </c>
      <c r="W1106" s="6">
        <f>IF(U1106&lt;&gt;"",ROUND(N(K1106)/U1106*100,1),"")</f>
        <v/>
      </c>
    </row>
    <row r="1107">
      <c r="A1107" s="3" t="n"/>
      <c r="B1107" s="4" t="n"/>
      <c r="C1107" s="4" t="n"/>
      <c r="D1107" s="5" t="n"/>
      <c r="E1107" s="5" t="n"/>
      <c r="F1107" s="6">
        <f>IF(AND(D1107&lt;&gt;"",E1107&lt;&gt;""),ROUND((E1107-D1107)*1440,0),"")</f>
        <v/>
      </c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6">
        <f>IF(C1107="착유장",기준값!$B$3,IF(C1107="건유·육성우동",기준값!$B$2,""))</f>
        <v/>
      </c>
      <c r="V1107" s="6">
        <f>IF(AND(F1107&lt;&gt;"",F1107&gt;0,U1107&lt;&gt;""),ROUND((U1107-N(K1107))/(F1107/60),0),"")</f>
        <v/>
      </c>
      <c r="W1107" s="6">
        <f>IF(U1107&lt;&gt;"",ROUND(N(K1107)/U1107*100,1),"")</f>
        <v/>
      </c>
    </row>
    <row r="1108">
      <c r="A1108" s="3" t="n"/>
      <c r="B1108" s="4" t="n"/>
      <c r="C1108" s="4" t="n"/>
      <c r="D1108" s="5" t="n"/>
      <c r="E1108" s="5" t="n"/>
      <c r="F1108" s="6">
        <f>IF(AND(D1108&lt;&gt;"",E1108&lt;&gt;""),ROUND((E1108-D1108)*1440,0),"")</f>
        <v/>
      </c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6">
        <f>IF(C1108="착유장",기준값!$B$3,IF(C1108="건유·육성우동",기준값!$B$2,""))</f>
        <v/>
      </c>
      <c r="V1108" s="6">
        <f>IF(AND(F1108&lt;&gt;"",F1108&gt;0,U1108&lt;&gt;""),ROUND((U1108-N(K1108))/(F1108/60),0),"")</f>
        <v/>
      </c>
      <c r="W1108" s="6">
        <f>IF(U1108&lt;&gt;"",ROUND(N(K1108)/U1108*100,1),"")</f>
        <v/>
      </c>
    </row>
    <row r="1109">
      <c r="A1109" s="3" t="n"/>
      <c r="B1109" s="4" t="n"/>
      <c r="C1109" s="4" t="n"/>
      <c r="D1109" s="5" t="n"/>
      <c r="E1109" s="5" t="n"/>
      <c r="F1109" s="6">
        <f>IF(AND(D1109&lt;&gt;"",E1109&lt;&gt;""),ROUND((E1109-D1109)*1440,0),"")</f>
        <v/>
      </c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6">
        <f>IF(C1109="착유장",기준값!$B$3,IF(C1109="건유·육성우동",기준값!$B$2,""))</f>
        <v/>
      </c>
      <c r="V1109" s="6">
        <f>IF(AND(F1109&lt;&gt;"",F1109&gt;0,U1109&lt;&gt;""),ROUND((U1109-N(K1109))/(F1109/60),0),"")</f>
        <v/>
      </c>
      <c r="W1109" s="6">
        <f>IF(U1109&lt;&gt;"",ROUND(N(K1109)/U1109*100,1),"")</f>
        <v/>
      </c>
    </row>
    <row r="1110">
      <c r="A1110" s="3" t="n"/>
      <c r="B1110" s="4" t="n"/>
      <c r="C1110" s="4" t="n"/>
      <c r="D1110" s="5" t="n"/>
      <c r="E1110" s="5" t="n"/>
      <c r="F1110" s="6">
        <f>IF(AND(D1110&lt;&gt;"",E1110&lt;&gt;""),ROUND((E1110-D1110)*1440,0),"")</f>
        <v/>
      </c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6">
        <f>IF(C1110="착유장",기준값!$B$3,IF(C1110="건유·육성우동",기준값!$B$2,""))</f>
        <v/>
      </c>
      <c r="V1110" s="6">
        <f>IF(AND(F1110&lt;&gt;"",F1110&gt;0,U1110&lt;&gt;""),ROUND((U1110-N(K1110))/(F1110/60),0),"")</f>
        <v/>
      </c>
      <c r="W1110" s="6">
        <f>IF(U1110&lt;&gt;"",ROUND(N(K1110)/U1110*100,1),"")</f>
        <v/>
      </c>
    </row>
    <row r="1111">
      <c r="A1111" s="3" t="n"/>
      <c r="B1111" s="4" t="n"/>
      <c r="C1111" s="4" t="n"/>
      <c r="D1111" s="5" t="n"/>
      <c r="E1111" s="5" t="n"/>
      <c r="F1111" s="6">
        <f>IF(AND(D1111&lt;&gt;"",E1111&lt;&gt;""),ROUND((E1111-D1111)*1440,0),"")</f>
        <v/>
      </c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6">
        <f>IF(C1111="착유장",기준값!$B$3,IF(C1111="건유·육성우동",기준값!$B$2,""))</f>
        <v/>
      </c>
      <c r="V1111" s="6">
        <f>IF(AND(F1111&lt;&gt;"",F1111&gt;0,U1111&lt;&gt;""),ROUND((U1111-N(K1111))/(F1111/60),0),"")</f>
        <v/>
      </c>
      <c r="W1111" s="6">
        <f>IF(U1111&lt;&gt;"",ROUND(N(K1111)/U1111*100,1),"")</f>
        <v/>
      </c>
    </row>
    <row r="1112">
      <c r="A1112" s="3" t="n"/>
      <c r="B1112" s="4" t="n"/>
      <c r="C1112" s="4" t="n"/>
      <c r="D1112" s="5" t="n"/>
      <c r="E1112" s="5" t="n"/>
      <c r="F1112" s="6">
        <f>IF(AND(D1112&lt;&gt;"",E1112&lt;&gt;""),ROUND((E1112-D1112)*1440,0),"")</f>
        <v/>
      </c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6">
        <f>IF(C1112="착유장",기준값!$B$3,IF(C1112="건유·육성우동",기준값!$B$2,""))</f>
        <v/>
      </c>
      <c r="V1112" s="6">
        <f>IF(AND(F1112&lt;&gt;"",F1112&gt;0,U1112&lt;&gt;""),ROUND((U1112-N(K1112))/(F1112/60),0),"")</f>
        <v/>
      </c>
      <c r="W1112" s="6">
        <f>IF(U1112&lt;&gt;"",ROUND(N(K1112)/U1112*100,1),"")</f>
        <v/>
      </c>
    </row>
    <row r="1113">
      <c r="A1113" s="3" t="n"/>
      <c r="B1113" s="4" t="n"/>
      <c r="C1113" s="4" t="n"/>
      <c r="D1113" s="5" t="n"/>
      <c r="E1113" s="5" t="n"/>
      <c r="F1113" s="6">
        <f>IF(AND(D1113&lt;&gt;"",E1113&lt;&gt;""),ROUND((E1113-D1113)*1440,0),"")</f>
        <v/>
      </c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6">
        <f>IF(C1113="착유장",기준값!$B$3,IF(C1113="건유·육성우동",기준값!$B$2,""))</f>
        <v/>
      </c>
      <c r="V1113" s="6">
        <f>IF(AND(F1113&lt;&gt;"",F1113&gt;0,U1113&lt;&gt;""),ROUND((U1113-N(K1113))/(F1113/60),0),"")</f>
        <v/>
      </c>
      <c r="W1113" s="6">
        <f>IF(U1113&lt;&gt;"",ROUND(N(K1113)/U1113*100,1),"")</f>
        <v/>
      </c>
    </row>
    <row r="1114">
      <c r="A1114" s="3" t="n"/>
      <c r="B1114" s="4" t="n"/>
      <c r="C1114" s="4" t="n"/>
      <c r="D1114" s="5" t="n"/>
      <c r="E1114" s="5" t="n"/>
      <c r="F1114" s="6">
        <f>IF(AND(D1114&lt;&gt;"",E1114&lt;&gt;""),ROUND((E1114-D1114)*1440,0),"")</f>
        <v/>
      </c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6">
        <f>IF(C1114="착유장",기준값!$B$3,IF(C1114="건유·육성우동",기준값!$B$2,""))</f>
        <v/>
      </c>
      <c r="V1114" s="6">
        <f>IF(AND(F1114&lt;&gt;"",F1114&gt;0,U1114&lt;&gt;""),ROUND((U1114-N(K1114))/(F1114/60),0),"")</f>
        <v/>
      </c>
      <c r="W1114" s="6">
        <f>IF(U1114&lt;&gt;"",ROUND(N(K1114)/U1114*100,1),"")</f>
        <v/>
      </c>
    </row>
    <row r="1115">
      <c r="A1115" s="3" t="n"/>
      <c r="B1115" s="4" t="n"/>
      <c r="C1115" s="4" t="n"/>
      <c r="D1115" s="5" t="n"/>
      <c r="E1115" s="5" t="n"/>
      <c r="F1115" s="6">
        <f>IF(AND(D1115&lt;&gt;"",E1115&lt;&gt;""),ROUND((E1115-D1115)*1440,0),"")</f>
        <v/>
      </c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6">
        <f>IF(C1115="착유장",기준값!$B$3,IF(C1115="건유·육성우동",기준값!$B$2,""))</f>
        <v/>
      </c>
      <c r="V1115" s="6">
        <f>IF(AND(F1115&lt;&gt;"",F1115&gt;0,U1115&lt;&gt;""),ROUND((U1115-N(K1115))/(F1115/60),0),"")</f>
        <v/>
      </c>
      <c r="W1115" s="6">
        <f>IF(U1115&lt;&gt;"",ROUND(N(K1115)/U1115*100,1),"")</f>
        <v/>
      </c>
    </row>
    <row r="1116">
      <c r="A1116" s="3" t="n"/>
      <c r="B1116" s="4" t="n"/>
      <c r="C1116" s="4" t="n"/>
      <c r="D1116" s="5" t="n"/>
      <c r="E1116" s="5" t="n"/>
      <c r="F1116" s="6">
        <f>IF(AND(D1116&lt;&gt;"",E1116&lt;&gt;""),ROUND((E1116-D1116)*1440,0),"")</f>
        <v/>
      </c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6">
        <f>IF(C1116="착유장",기준값!$B$3,IF(C1116="건유·육성우동",기준값!$B$2,""))</f>
        <v/>
      </c>
      <c r="V1116" s="6">
        <f>IF(AND(F1116&lt;&gt;"",F1116&gt;0,U1116&lt;&gt;""),ROUND((U1116-N(K1116))/(F1116/60),0),"")</f>
        <v/>
      </c>
      <c r="W1116" s="6">
        <f>IF(U1116&lt;&gt;"",ROUND(N(K1116)/U1116*100,1),"")</f>
        <v/>
      </c>
    </row>
    <row r="1117">
      <c r="A1117" s="3" t="n"/>
      <c r="B1117" s="4" t="n"/>
      <c r="C1117" s="4" t="n"/>
      <c r="D1117" s="5" t="n"/>
      <c r="E1117" s="5" t="n"/>
      <c r="F1117" s="6">
        <f>IF(AND(D1117&lt;&gt;"",E1117&lt;&gt;""),ROUND((E1117-D1117)*1440,0),"")</f>
        <v/>
      </c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6">
        <f>IF(C1117="착유장",기준값!$B$3,IF(C1117="건유·육성우동",기준값!$B$2,""))</f>
        <v/>
      </c>
      <c r="V1117" s="6">
        <f>IF(AND(F1117&lt;&gt;"",F1117&gt;0,U1117&lt;&gt;""),ROUND((U1117-N(K1117))/(F1117/60),0),"")</f>
        <v/>
      </c>
      <c r="W1117" s="6">
        <f>IF(U1117&lt;&gt;"",ROUND(N(K1117)/U1117*100,1),"")</f>
        <v/>
      </c>
    </row>
    <row r="1118">
      <c r="A1118" s="3" t="n"/>
      <c r="B1118" s="4" t="n"/>
      <c r="C1118" s="4" t="n"/>
      <c r="D1118" s="5" t="n"/>
      <c r="E1118" s="5" t="n"/>
      <c r="F1118" s="6">
        <f>IF(AND(D1118&lt;&gt;"",E1118&lt;&gt;""),ROUND((E1118-D1118)*1440,0),"")</f>
        <v/>
      </c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6">
        <f>IF(C1118="착유장",기준값!$B$3,IF(C1118="건유·육성우동",기준값!$B$2,""))</f>
        <v/>
      </c>
      <c r="V1118" s="6">
        <f>IF(AND(F1118&lt;&gt;"",F1118&gt;0,U1118&lt;&gt;""),ROUND((U1118-N(K1118))/(F1118/60),0),"")</f>
        <v/>
      </c>
      <c r="W1118" s="6">
        <f>IF(U1118&lt;&gt;"",ROUND(N(K1118)/U1118*100,1),"")</f>
        <v/>
      </c>
    </row>
    <row r="1119">
      <c r="A1119" s="3" t="n"/>
      <c r="B1119" s="4" t="n"/>
      <c r="C1119" s="4" t="n"/>
      <c r="D1119" s="5" t="n"/>
      <c r="E1119" s="5" t="n"/>
      <c r="F1119" s="6">
        <f>IF(AND(D1119&lt;&gt;"",E1119&lt;&gt;""),ROUND((E1119-D1119)*1440,0),"")</f>
        <v/>
      </c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6">
        <f>IF(C1119="착유장",기준값!$B$3,IF(C1119="건유·육성우동",기준값!$B$2,""))</f>
        <v/>
      </c>
      <c r="V1119" s="6">
        <f>IF(AND(F1119&lt;&gt;"",F1119&gt;0,U1119&lt;&gt;""),ROUND((U1119-N(K1119))/(F1119/60),0),"")</f>
        <v/>
      </c>
      <c r="W1119" s="6">
        <f>IF(U1119&lt;&gt;"",ROUND(N(K1119)/U1119*100,1),"")</f>
        <v/>
      </c>
    </row>
    <row r="1120">
      <c r="A1120" s="3" t="n"/>
      <c r="B1120" s="4" t="n"/>
      <c r="C1120" s="4" t="n"/>
      <c r="D1120" s="5" t="n"/>
      <c r="E1120" s="5" t="n"/>
      <c r="F1120" s="6">
        <f>IF(AND(D1120&lt;&gt;"",E1120&lt;&gt;""),ROUND((E1120-D1120)*1440,0),"")</f>
        <v/>
      </c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6">
        <f>IF(C1120="착유장",기준값!$B$3,IF(C1120="건유·육성우동",기준값!$B$2,""))</f>
        <v/>
      </c>
      <c r="V1120" s="6">
        <f>IF(AND(F1120&lt;&gt;"",F1120&gt;0,U1120&lt;&gt;""),ROUND((U1120-N(K1120))/(F1120/60),0),"")</f>
        <v/>
      </c>
      <c r="W1120" s="6">
        <f>IF(U1120&lt;&gt;"",ROUND(N(K1120)/U1120*100,1),"")</f>
        <v/>
      </c>
    </row>
    <row r="1121">
      <c r="A1121" s="3" t="n"/>
      <c r="B1121" s="4" t="n"/>
      <c r="C1121" s="4" t="n"/>
      <c r="D1121" s="5" t="n"/>
      <c r="E1121" s="5" t="n"/>
      <c r="F1121" s="6">
        <f>IF(AND(D1121&lt;&gt;"",E1121&lt;&gt;""),ROUND((E1121-D1121)*1440,0),"")</f>
        <v/>
      </c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6">
        <f>IF(C1121="착유장",기준값!$B$3,IF(C1121="건유·육성우동",기준값!$B$2,""))</f>
        <v/>
      </c>
      <c r="V1121" s="6">
        <f>IF(AND(F1121&lt;&gt;"",F1121&gt;0,U1121&lt;&gt;""),ROUND((U1121-N(K1121))/(F1121/60),0),"")</f>
        <v/>
      </c>
      <c r="W1121" s="6">
        <f>IF(U1121&lt;&gt;"",ROUND(N(K1121)/U1121*100,1),"")</f>
        <v/>
      </c>
    </row>
    <row r="1122">
      <c r="A1122" s="3" t="n"/>
      <c r="B1122" s="4" t="n"/>
      <c r="C1122" s="4" t="n"/>
      <c r="D1122" s="5" t="n"/>
      <c r="E1122" s="5" t="n"/>
      <c r="F1122" s="6">
        <f>IF(AND(D1122&lt;&gt;"",E1122&lt;&gt;""),ROUND((E1122-D1122)*1440,0),"")</f>
        <v/>
      </c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6">
        <f>IF(C1122="착유장",기준값!$B$3,IF(C1122="건유·육성우동",기준값!$B$2,""))</f>
        <v/>
      </c>
      <c r="V1122" s="6">
        <f>IF(AND(F1122&lt;&gt;"",F1122&gt;0,U1122&lt;&gt;""),ROUND((U1122-N(K1122))/(F1122/60),0),"")</f>
        <v/>
      </c>
      <c r="W1122" s="6">
        <f>IF(U1122&lt;&gt;"",ROUND(N(K1122)/U1122*100,1),"")</f>
        <v/>
      </c>
    </row>
    <row r="1123">
      <c r="A1123" s="3" t="n"/>
      <c r="B1123" s="4" t="n"/>
      <c r="C1123" s="4" t="n"/>
      <c r="D1123" s="5" t="n"/>
      <c r="E1123" s="5" t="n"/>
      <c r="F1123" s="6">
        <f>IF(AND(D1123&lt;&gt;"",E1123&lt;&gt;""),ROUND((E1123-D1123)*1440,0),"")</f>
        <v/>
      </c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6">
        <f>IF(C1123="착유장",기준값!$B$3,IF(C1123="건유·육성우동",기준값!$B$2,""))</f>
        <v/>
      </c>
      <c r="V1123" s="6">
        <f>IF(AND(F1123&lt;&gt;"",F1123&gt;0,U1123&lt;&gt;""),ROUND((U1123-N(K1123))/(F1123/60),0),"")</f>
        <v/>
      </c>
      <c r="W1123" s="6">
        <f>IF(U1123&lt;&gt;"",ROUND(N(K1123)/U1123*100,1),"")</f>
        <v/>
      </c>
    </row>
    <row r="1124">
      <c r="A1124" s="3" t="n"/>
      <c r="B1124" s="4" t="n"/>
      <c r="C1124" s="4" t="n"/>
      <c r="D1124" s="5" t="n"/>
      <c r="E1124" s="5" t="n"/>
      <c r="F1124" s="6">
        <f>IF(AND(D1124&lt;&gt;"",E1124&lt;&gt;""),ROUND((E1124-D1124)*1440,0),"")</f>
        <v/>
      </c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6">
        <f>IF(C1124="착유장",기준값!$B$3,IF(C1124="건유·육성우동",기준값!$B$2,""))</f>
        <v/>
      </c>
      <c r="V1124" s="6">
        <f>IF(AND(F1124&lt;&gt;"",F1124&gt;0,U1124&lt;&gt;""),ROUND((U1124-N(K1124))/(F1124/60),0),"")</f>
        <v/>
      </c>
      <c r="W1124" s="6">
        <f>IF(U1124&lt;&gt;"",ROUND(N(K1124)/U1124*100,1),"")</f>
        <v/>
      </c>
    </row>
    <row r="1125">
      <c r="A1125" s="3" t="n"/>
      <c r="B1125" s="4" t="n"/>
      <c r="C1125" s="4" t="n"/>
      <c r="D1125" s="5" t="n"/>
      <c r="E1125" s="5" t="n"/>
      <c r="F1125" s="6">
        <f>IF(AND(D1125&lt;&gt;"",E1125&lt;&gt;""),ROUND((E1125-D1125)*1440,0),"")</f>
        <v/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6">
        <f>IF(C1125="착유장",기준값!$B$3,IF(C1125="건유·육성우동",기준값!$B$2,""))</f>
        <v/>
      </c>
      <c r="V1125" s="6">
        <f>IF(AND(F1125&lt;&gt;"",F1125&gt;0,U1125&lt;&gt;""),ROUND((U1125-N(K1125))/(F1125/60),0),"")</f>
        <v/>
      </c>
      <c r="W1125" s="6">
        <f>IF(U1125&lt;&gt;"",ROUND(N(K1125)/U1125*100,1),"")</f>
        <v/>
      </c>
    </row>
    <row r="1126">
      <c r="A1126" s="3" t="n"/>
      <c r="B1126" s="4" t="n"/>
      <c r="C1126" s="4" t="n"/>
      <c r="D1126" s="5" t="n"/>
      <c r="E1126" s="5" t="n"/>
      <c r="F1126" s="6">
        <f>IF(AND(D1126&lt;&gt;"",E1126&lt;&gt;""),ROUND((E1126-D1126)*1440,0),"")</f>
        <v/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6">
        <f>IF(C1126="착유장",기준값!$B$3,IF(C1126="건유·육성우동",기준값!$B$2,""))</f>
        <v/>
      </c>
      <c r="V1126" s="6">
        <f>IF(AND(F1126&lt;&gt;"",F1126&gt;0,U1126&lt;&gt;""),ROUND((U1126-N(K1126))/(F1126/60),0),"")</f>
        <v/>
      </c>
      <c r="W1126" s="6">
        <f>IF(U1126&lt;&gt;"",ROUND(N(K1126)/U1126*100,1),"")</f>
        <v/>
      </c>
    </row>
    <row r="1127">
      <c r="A1127" s="3" t="n"/>
      <c r="B1127" s="4" t="n"/>
      <c r="C1127" s="4" t="n"/>
      <c r="D1127" s="5" t="n"/>
      <c r="E1127" s="5" t="n"/>
      <c r="F1127" s="6">
        <f>IF(AND(D1127&lt;&gt;"",E1127&lt;&gt;""),ROUND((E1127-D1127)*1440,0),"")</f>
        <v/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6">
        <f>IF(C1127="착유장",기준값!$B$3,IF(C1127="건유·육성우동",기준값!$B$2,""))</f>
        <v/>
      </c>
      <c r="V1127" s="6">
        <f>IF(AND(F1127&lt;&gt;"",F1127&gt;0,U1127&lt;&gt;""),ROUND((U1127-N(K1127))/(F1127/60),0),"")</f>
        <v/>
      </c>
      <c r="W1127" s="6">
        <f>IF(U1127&lt;&gt;"",ROUND(N(K1127)/U1127*100,1),"")</f>
        <v/>
      </c>
    </row>
    <row r="1128">
      <c r="A1128" s="3" t="n"/>
      <c r="B1128" s="4" t="n"/>
      <c r="C1128" s="4" t="n"/>
      <c r="D1128" s="5" t="n"/>
      <c r="E1128" s="5" t="n"/>
      <c r="F1128" s="6">
        <f>IF(AND(D1128&lt;&gt;"",E1128&lt;&gt;""),ROUND((E1128-D1128)*1440,0),"")</f>
        <v/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6">
        <f>IF(C1128="착유장",기준값!$B$3,IF(C1128="건유·육성우동",기준값!$B$2,""))</f>
        <v/>
      </c>
      <c r="V1128" s="6">
        <f>IF(AND(F1128&lt;&gt;"",F1128&gt;0,U1128&lt;&gt;""),ROUND((U1128-N(K1128))/(F1128/60),0),"")</f>
        <v/>
      </c>
      <c r="W1128" s="6">
        <f>IF(U1128&lt;&gt;"",ROUND(N(K1128)/U1128*100,1),"")</f>
        <v/>
      </c>
    </row>
    <row r="1129">
      <c r="A1129" s="3" t="n"/>
      <c r="B1129" s="4" t="n"/>
      <c r="C1129" s="4" t="n"/>
      <c r="D1129" s="5" t="n"/>
      <c r="E1129" s="5" t="n"/>
      <c r="F1129" s="6">
        <f>IF(AND(D1129&lt;&gt;"",E1129&lt;&gt;""),ROUND((E1129-D1129)*1440,0),"")</f>
        <v/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6">
        <f>IF(C1129="착유장",기준값!$B$3,IF(C1129="건유·육성우동",기준값!$B$2,""))</f>
        <v/>
      </c>
      <c r="V1129" s="6">
        <f>IF(AND(F1129&lt;&gt;"",F1129&gt;0,U1129&lt;&gt;""),ROUND((U1129-N(K1129))/(F1129/60),0),"")</f>
        <v/>
      </c>
      <c r="W1129" s="6">
        <f>IF(U1129&lt;&gt;"",ROUND(N(K1129)/U1129*100,1),"")</f>
        <v/>
      </c>
    </row>
    <row r="1130">
      <c r="A1130" s="3" t="n"/>
      <c r="B1130" s="4" t="n"/>
      <c r="C1130" s="4" t="n"/>
      <c r="D1130" s="5" t="n"/>
      <c r="E1130" s="5" t="n"/>
      <c r="F1130" s="6">
        <f>IF(AND(D1130&lt;&gt;"",E1130&lt;&gt;""),ROUND((E1130-D1130)*1440,0),"")</f>
        <v/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6">
        <f>IF(C1130="착유장",기준값!$B$3,IF(C1130="건유·육성우동",기준값!$B$2,""))</f>
        <v/>
      </c>
      <c r="V1130" s="6">
        <f>IF(AND(F1130&lt;&gt;"",F1130&gt;0,U1130&lt;&gt;""),ROUND((U1130-N(K1130))/(F1130/60),0),"")</f>
        <v/>
      </c>
      <c r="W1130" s="6">
        <f>IF(U1130&lt;&gt;"",ROUND(N(K1130)/U1130*100,1),"")</f>
        <v/>
      </c>
    </row>
    <row r="1131">
      <c r="A1131" s="3" t="n"/>
      <c r="B1131" s="4" t="n"/>
      <c r="C1131" s="4" t="n"/>
      <c r="D1131" s="5" t="n"/>
      <c r="E1131" s="5" t="n"/>
      <c r="F1131" s="6">
        <f>IF(AND(D1131&lt;&gt;"",E1131&lt;&gt;""),ROUND((E1131-D1131)*1440,0),"")</f>
        <v/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6">
        <f>IF(C1131="착유장",기준값!$B$3,IF(C1131="건유·육성우동",기준값!$B$2,""))</f>
        <v/>
      </c>
      <c r="V1131" s="6">
        <f>IF(AND(F1131&lt;&gt;"",F1131&gt;0,U1131&lt;&gt;""),ROUND((U1131-N(K1131))/(F1131/60),0),"")</f>
        <v/>
      </c>
      <c r="W1131" s="6">
        <f>IF(U1131&lt;&gt;"",ROUND(N(K1131)/U1131*100,1),"")</f>
        <v/>
      </c>
    </row>
    <row r="1132">
      <c r="A1132" s="3" t="n"/>
      <c r="B1132" s="4" t="n"/>
      <c r="C1132" s="4" t="n"/>
      <c r="D1132" s="5" t="n"/>
      <c r="E1132" s="5" t="n"/>
      <c r="F1132" s="6">
        <f>IF(AND(D1132&lt;&gt;"",E1132&lt;&gt;""),ROUND((E1132-D1132)*1440,0),"")</f>
        <v/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6">
        <f>IF(C1132="착유장",기준값!$B$3,IF(C1132="건유·육성우동",기준값!$B$2,""))</f>
        <v/>
      </c>
      <c r="V1132" s="6">
        <f>IF(AND(F1132&lt;&gt;"",F1132&gt;0,U1132&lt;&gt;""),ROUND((U1132-N(K1132))/(F1132/60),0),"")</f>
        <v/>
      </c>
      <c r="W1132" s="6">
        <f>IF(U1132&lt;&gt;"",ROUND(N(K1132)/U1132*100,1),"")</f>
        <v/>
      </c>
    </row>
    <row r="1133">
      <c r="A1133" s="3" t="n"/>
      <c r="B1133" s="4" t="n"/>
      <c r="C1133" s="4" t="n"/>
      <c r="D1133" s="5" t="n"/>
      <c r="E1133" s="5" t="n"/>
      <c r="F1133" s="6">
        <f>IF(AND(D1133&lt;&gt;"",E1133&lt;&gt;""),ROUND((E1133-D1133)*1440,0),"")</f>
        <v/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6">
        <f>IF(C1133="착유장",기준값!$B$3,IF(C1133="건유·육성우동",기준값!$B$2,""))</f>
        <v/>
      </c>
      <c r="V1133" s="6">
        <f>IF(AND(F1133&lt;&gt;"",F1133&gt;0,U1133&lt;&gt;""),ROUND((U1133-N(K1133))/(F1133/60),0),"")</f>
        <v/>
      </c>
      <c r="W1133" s="6">
        <f>IF(U1133&lt;&gt;"",ROUND(N(K1133)/U1133*100,1),"")</f>
        <v/>
      </c>
    </row>
    <row r="1134">
      <c r="A1134" s="3" t="n"/>
      <c r="B1134" s="4" t="n"/>
      <c r="C1134" s="4" t="n"/>
      <c r="D1134" s="5" t="n"/>
      <c r="E1134" s="5" t="n"/>
      <c r="F1134" s="6">
        <f>IF(AND(D1134&lt;&gt;"",E1134&lt;&gt;""),ROUND((E1134-D1134)*1440,0),"")</f>
        <v/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6">
        <f>IF(C1134="착유장",기준값!$B$3,IF(C1134="건유·육성우동",기준값!$B$2,""))</f>
        <v/>
      </c>
      <c r="V1134" s="6">
        <f>IF(AND(F1134&lt;&gt;"",F1134&gt;0,U1134&lt;&gt;""),ROUND((U1134-N(K1134))/(F1134/60),0),"")</f>
        <v/>
      </c>
      <c r="W1134" s="6">
        <f>IF(U1134&lt;&gt;"",ROUND(N(K1134)/U1134*100,1),"")</f>
        <v/>
      </c>
    </row>
    <row r="1135">
      <c r="A1135" s="3" t="n"/>
      <c r="B1135" s="4" t="n"/>
      <c r="C1135" s="4" t="n"/>
      <c r="D1135" s="5" t="n"/>
      <c r="E1135" s="5" t="n"/>
      <c r="F1135" s="6">
        <f>IF(AND(D1135&lt;&gt;"",E1135&lt;&gt;""),ROUND((E1135-D1135)*1440,0),"")</f>
        <v/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6">
        <f>IF(C1135="착유장",기준값!$B$3,IF(C1135="건유·육성우동",기준값!$B$2,""))</f>
        <v/>
      </c>
      <c r="V1135" s="6">
        <f>IF(AND(F1135&lt;&gt;"",F1135&gt;0,U1135&lt;&gt;""),ROUND((U1135-N(K1135))/(F1135/60),0),"")</f>
        <v/>
      </c>
      <c r="W1135" s="6">
        <f>IF(U1135&lt;&gt;"",ROUND(N(K1135)/U1135*100,1),"")</f>
        <v/>
      </c>
    </row>
    <row r="1136">
      <c r="A1136" s="3" t="n"/>
      <c r="B1136" s="4" t="n"/>
      <c r="C1136" s="4" t="n"/>
      <c r="D1136" s="5" t="n"/>
      <c r="E1136" s="5" t="n"/>
      <c r="F1136" s="6">
        <f>IF(AND(D1136&lt;&gt;"",E1136&lt;&gt;""),ROUND((E1136-D1136)*1440,0),"")</f>
        <v/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6">
        <f>IF(C1136="착유장",기준값!$B$3,IF(C1136="건유·육성우동",기준값!$B$2,""))</f>
        <v/>
      </c>
      <c r="V1136" s="6">
        <f>IF(AND(F1136&lt;&gt;"",F1136&gt;0,U1136&lt;&gt;""),ROUND((U1136-N(K1136))/(F1136/60),0),"")</f>
        <v/>
      </c>
      <c r="W1136" s="6">
        <f>IF(U1136&lt;&gt;"",ROUND(N(K1136)/U1136*100,1),"")</f>
        <v/>
      </c>
    </row>
    <row r="1137">
      <c r="A1137" s="3" t="n"/>
      <c r="B1137" s="4" t="n"/>
      <c r="C1137" s="4" t="n"/>
      <c r="D1137" s="5" t="n"/>
      <c r="E1137" s="5" t="n"/>
      <c r="F1137" s="6">
        <f>IF(AND(D1137&lt;&gt;"",E1137&lt;&gt;""),ROUND((E1137-D1137)*1440,0),"")</f>
        <v/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6">
        <f>IF(C1137="착유장",기준값!$B$3,IF(C1137="건유·육성우동",기준값!$B$2,""))</f>
        <v/>
      </c>
      <c r="V1137" s="6">
        <f>IF(AND(F1137&lt;&gt;"",F1137&gt;0,U1137&lt;&gt;""),ROUND((U1137-N(K1137))/(F1137/60),0),"")</f>
        <v/>
      </c>
      <c r="W1137" s="6">
        <f>IF(U1137&lt;&gt;"",ROUND(N(K1137)/U1137*100,1),"")</f>
        <v/>
      </c>
    </row>
    <row r="1138">
      <c r="A1138" s="3" t="n"/>
      <c r="B1138" s="4" t="n"/>
      <c r="C1138" s="4" t="n"/>
      <c r="D1138" s="5" t="n"/>
      <c r="E1138" s="5" t="n"/>
      <c r="F1138" s="6">
        <f>IF(AND(D1138&lt;&gt;"",E1138&lt;&gt;""),ROUND((E1138-D1138)*1440,0),"")</f>
        <v/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6">
        <f>IF(C1138="착유장",기준값!$B$3,IF(C1138="건유·육성우동",기준값!$B$2,""))</f>
        <v/>
      </c>
      <c r="V1138" s="6">
        <f>IF(AND(F1138&lt;&gt;"",F1138&gt;0,U1138&lt;&gt;""),ROUND((U1138-N(K1138))/(F1138/60),0),"")</f>
        <v/>
      </c>
      <c r="W1138" s="6">
        <f>IF(U1138&lt;&gt;"",ROUND(N(K1138)/U1138*100,1),"")</f>
        <v/>
      </c>
    </row>
    <row r="1139">
      <c r="A1139" s="3" t="n"/>
      <c r="B1139" s="4" t="n"/>
      <c r="C1139" s="4" t="n"/>
      <c r="D1139" s="5" t="n"/>
      <c r="E1139" s="5" t="n"/>
      <c r="F1139" s="6">
        <f>IF(AND(D1139&lt;&gt;"",E1139&lt;&gt;""),ROUND((E1139-D1139)*1440,0),"")</f>
        <v/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6">
        <f>IF(C1139="착유장",기준값!$B$3,IF(C1139="건유·육성우동",기준값!$B$2,""))</f>
        <v/>
      </c>
      <c r="V1139" s="6">
        <f>IF(AND(F1139&lt;&gt;"",F1139&gt;0,U1139&lt;&gt;""),ROUND((U1139-N(K1139))/(F1139/60),0),"")</f>
        <v/>
      </c>
      <c r="W1139" s="6">
        <f>IF(U1139&lt;&gt;"",ROUND(N(K1139)/U1139*100,1),"")</f>
        <v/>
      </c>
    </row>
    <row r="1140">
      <c r="A1140" s="3" t="n"/>
      <c r="B1140" s="4" t="n"/>
      <c r="C1140" s="4" t="n"/>
      <c r="D1140" s="5" t="n"/>
      <c r="E1140" s="5" t="n"/>
      <c r="F1140" s="6">
        <f>IF(AND(D1140&lt;&gt;"",E1140&lt;&gt;""),ROUND((E1140-D1140)*1440,0),"")</f>
        <v/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6">
        <f>IF(C1140="착유장",기준값!$B$3,IF(C1140="건유·육성우동",기준값!$B$2,""))</f>
        <v/>
      </c>
      <c r="V1140" s="6">
        <f>IF(AND(F1140&lt;&gt;"",F1140&gt;0,U1140&lt;&gt;""),ROUND((U1140-N(K1140))/(F1140/60),0),"")</f>
        <v/>
      </c>
      <c r="W1140" s="6">
        <f>IF(U1140&lt;&gt;"",ROUND(N(K1140)/U1140*100,1),"")</f>
        <v/>
      </c>
    </row>
    <row r="1141">
      <c r="A1141" s="3" t="n"/>
      <c r="B1141" s="4" t="n"/>
      <c r="C1141" s="4" t="n"/>
      <c r="D1141" s="5" t="n"/>
      <c r="E1141" s="5" t="n"/>
      <c r="F1141" s="6">
        <f>IF(AND(D1141&lt;&gt;"",E1141&lt;&gt;""),ROUND((E1141-D1141)*1440,0),"")</f>
        <v/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6">
        <f>IF(C1141="착유장",기준값!$B$3,IF(C1141="건유·육성우동",기준값!$B$2,""))</f>
        <v/>
      </c>
      <c r="V1141" s="6">
        <f>IF(AND(F1141&lt;&gt;"",F1141&gt;0,U1141&lt;&gt;""),ROUND((U1141-N(K1141))/(F1141/60),0),"")</f>
        <v/>
      </c>
      <c r="W1141" s="6">
        <f>IF(U1141&lt;&gt;"",ROUND(N(K1141)/U1141*100,1),"")</f>
        <v/>
      </c>
    </row>
    <row r="1142">
      <c r="A1142" s="3" t="n"/>
      <c r="B1142" s="4" t="n"/>
      <c r="C1142" s="4" t="n"/>
      <c r="D1142" s="5" t="n"/>
      <c r="E1142" s="5" t="n"/>
      <c r="F1142" s="6">
        <f>IF(AND(D1142&lt;&gt;"",E1142&lt;&gt;""),ROUND((E1142-D1142)*1440,0),"")</f>
        <v/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6">
        <f>IF(C1142="착유장",기준값!$B$3,IF(C1142="건유·육성우동",기준값!$B$2,""))</f>
        <v/>
      </c>
      <c r="V1142" s="6">
        <f>IF(AND(F1142&lt;&gt;"",F1142&gt;0,U1142&lt;&gt;""),ROUND((U1142-N(K1142))/(F1142/60),0),"")</f>
        <v/>
      </c>
      <c r="W1142" s="6">
        <f>IF(U1142&lt;&gt;"",ROUND(N(K1142)/U1142*100,1),"")</f>
        <v/>
      </c>
    </row>
    <row r="1143">
      <c r="A1143" s="3" t="n"/>
      <c r="B1143" s="4" t="n"/>
      <c r="C1143" s="4" t="n"/>
      <c r="D1143" s="5" t="n"/>
      <c r="E1143" s="5" t="n"/>
      <c r="F1143" s="6">
        <f>IF(AND(D1143&lt;&gt;"",E1143&lt;&gt;""),ROUND((E1143-D1143)*1440,0),"")</f>
        <v/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6">
        <f>IF(C1143="착유장",기준값!$B$3,IF(C1143="건유·육성우동",기준값!$B$2,""))</f>
        <v/>
      </c>
      <c r="V1143" s="6">
        <f>IF(AND(F1143&lt;&gt;"",F1143&gt;0,U1143&lt;&gt;""),ROUND((U1143-N(K1143))/(F1143/60),0),"")</f>
        <v/>
      </c>
      <c r="W1143" s="6">
        <f>IF(U1143&lt;&gt;"",ROUND(N(K1143)/U1143*100,1),"")</f>
        <v/>
      </c>
    </row>
    <row r="1144">
      <c r="A1144" s="3" t="n"/>
      <c r="B1144" s="4" t="n"/>
      <c r="C1144" s="4" t="n"/>
      <c r="D1144" s="5" t="n"/>
      <c r="E1144" s="5" t="n"/>
      <c r="F1144" s="6">
        <f>IF(AND(D1144&lt;&gt;"",E1144&lt;&gt;""),ROUND((E1144-D1144)*1440,0),"")</f>
        <v/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6">
        <f>IF(C1144="착유장",기준값!$B$3,IF(C1144="건유·육성우동",기준값!$B$2,""))</f>
        <v/>
      </c>
      <c r="V1144" s="6">
        <f>IF(AND(F1144&lt;&gt;"",F1144&gt;0,U1144&lt;&gt;""),ROUND((U1144-N(K1144))/(F1144/60),0),"")</f>
        <v/>
      </c>
      <c r="W1144" s="6">
        <f>IF(U1144&lt;&gt;"",ROUND(N(K1144)/U1144*100,1),"")</f>
        <v/>
      </c>
    </row>
    <row r="1145">
      <c r="A1145" s="3" t="n"/>
      <c r="B1145" s="4" t="n"/>
      <c r="C1145" s="4" t="n"/>
      <c r="D1145" s="5" t="n"/>
      <c r="E1145" s="5" t="n"/>
      <c r="F1145" s="6">
        <f>IF(AND(D1145&lt;&gt;"",E1145&lt;&gt;""),ROUND((E1145-D1145)*1440,0),"")</f>
        <v/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6">
        <f>IF(C1145="착유장",기준값!$B$3,IF(C1145="건유·육성우동",기준값!$B$2,""))</f>
        <v/>
      </c>
      <c r="V1145" s="6">
        <f>IF(AND(F1145&lt;&gt;"",F1145&gt;0,U1145&lt;&gt;""),ROUND((U1145-N(K1145))/(F1145/60),0),"")</f>
        <v/>
      </c>
      <c r="W1145" s="6">
        <f>IF(U1145&lt;&gt;"",ROUND(N(K1145)/U1145*100,1),"")</f>
        <v/>
      </c>
    </row>
    <row r="1146">
      <c r="A1146" s="3" t="n"/>
      <c r="B1146" s="4" t="n"/>
      <c r="C1146" s="4" t="n"/>
      <c r="D1146" s="5" t="n"/>
      <c r="E1146" s="5" t="n"/>
      <c r="F1146" s="6">
        <f>IF(AND(D1146&lt;&gt;"",E1146&lt;&gt;""),ROUND((E1146-D1146)*1440,0),"")</f>
        <v/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6">
        <f>IF(C1146="착유장",기준값!$B$3,IF(C1146="건유·육성우동",기준값!$B$2,""))</f>
        <v/>
      </c>
      <c r="V1146" s="6">
        <f>IF(AND(F1146&lt;&gt;"",F1146&gt;0,U1146&lt;&gt;""),ROUND((U1146-N(K1146))/(F1146/60),0),"")</f>
        <v/>
      </c>
      <c r="W1146" s="6">
        <f>IF(U1146&lt;&gt;"",ROUND(N(K1146)/U1146*100,1),"")</f>
        <v/>
      </c>
    </row>
    <row r="1147">
      <c r="A1147" s="3" t="n"/>
      <c r="B1147" s="4" t="n"/>
      <c r="C1147" s="4" t="n"/>
      <c r="D1147" s="5" t="n"/>
      <c r="E1147" s="5" t="n"/>
      <c r="F1147" s="6">
        <f>IF(AND(D1147&lt;&gt;"",E1147&lt;&gt;""),ROUND((E1147-D1147)*1440,0),"")</f>
        <v/>
      </c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6">
        <f>IF(C1147="착유장",기준값!$B$3,IF(C1147="건유·육성우동",기준값!$B$2,""))</f>
        <v/>
      </c>
      <c r="V1147" s="6">
        <f>IF(AND(F1147&lt;&gt;"",F1147&gt;0,U1147&lt;&gt;""),ROUND((U1147-N(K1147))/(F1147/60),0),"")</f>
        <v/>
      </c>
      <c r="W1147" s="6">
        <f>IF(U1147&lt;&gt;"",ROUND(N(K1147)/U1147*100,1),"")</f>
        <v/>
      </c>
    </row>
    <row r="1148">
      <c r="A1148" s="3" t="n"/>
      <c r="B1148" s="4" t="n"/>
      <c r="C1148" s="4" t="n"/>
      <c r="D1148" s="5" t="n"/>
      <c r="E1148" s="5" t="n"/>
      <c r="F1148" s="6">
        <f>IF(AND(D1148&lt;&gt;"",E1148&lt;&gt;""),ROUND((E1148-D1148)*1440,0),"")</f>
        <v/>
      </c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6">
        <f>IF(C1148="착유장",기준값!$B$3,IF(C1148="건유·육성우동",기준값!$B$2,""))</f>
        <v/>
      </c>
      <c r="V1148" s="6">
        <f>IF(AND(F1148&lt;&gt;"",F1148&gt;0,U1148&lt;&gt;""),ROUND((U1148-N(K1148))/(F1148/60),0),"")</f>
        <v/>
      </c>
      <c r="W1148" s="6">
        <f>IF(U1148&lt;&gt;"",ROUND(N(K1148)/U1148*100,1),"")</f>
        <v/>
      </c>
    </row>
    <row r="1149">
      <c r="A1149" s="3" t="n"/>
      <c r="B1149" s="4" t="n"/>
      <c r="C1149" s="4" t="n"/>
      <c r="D1149" s="5" t="n"/>
      <c r="E1149" s="5" t="n"/>
      <c r="F1149" s="6">
        <f>IF(AND(D1149&lt;&gt;"",E1149&lt;&gt;""),ROUND((E1149-D1149)*1440,0),"")</f>
        <v/>
      </c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6">
        <f>IF(C1149="착유장",기준값!$B$3,IF(C1149="건유·육성우동",기준값!$B$2,""))</f>
        <v/>
      </c>
      <c r="V1149" s="6">
        <f>IF(AND(F1149&lt;&gt;"",F1149&gt;0,U1149&lt;&gt;""),ROUND((U1149-N(K1149))/(F1149/60),0),"")</f>
        <v/>
      </c>
      <c r="W1149" s="6">
        <f>IF(U1149&lt;&gt;"",ROUND(N(K1149)/U1149*100,1),"")</f>
        <v/>
      </c>
    </row>
    <row r="1150">
      <c r="A1150" s="3" t="n"/>
      <c r="B1150" s="4" t="n"/>
      <c r="C1150" s="4" t="n"/>
      <c r="D1150" s="5" t="n"/>
      <c r="E1150" s="5" t="n"/>
      <c r="F1150" s="6">
        <f>IF(AND(D1150&lt;&gt;"",E1150&lt;&gt;""),ROUND((E1150-D1150)*1440,0),"")</f>
        <v/>
      </c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6">
        <f>IF(C1150="착유장",기준값!$B$3,IF(C1150="건유·육성우동",기준값!$B$2,""))</f>
        <v/>
      </c>
      <c r="V1150" s="6">
        <f>IF(AND(F1150&lt;&gt;"",F1150&gt;0,U1150&lt;&gt;""),ROUND((U1150-N(K1150))/(F1150/60),0),"")</f>
        <v/>
      </c>
      <c r="W1150" s="6">
        <f>IF(U1150&lt;&gt;"",ROUND(N(K1150)/U1150*100,1),"")</f>
        <v/>
      </c>
    </row>
    <row r="1151">
      <c r="A1151" s="3" t="n"/>
      <c r="B1151" s="4" t="n"/>
      <c r="C1151" s="4" t="n"/>
      <c r="D1151" s="5" t="n"/>
      <c r="E1151" s="5" t="n"/>
      <c r="F1151" s="6">
        <f>IF(AND(D1151&lt;&gt;"",E1151&lt;&gt;""),ROUND((E1151-D1151)*1440,0),"")</f>
        <v/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6">
        <f>IF(C1151="착유장",기준값!$B$3,IF(C1151="건유·육성우동",기준값!$B$2,""))</f>
        <v/>
      </c>
      <c r="V1151" s="6">
        <f>IF(AND(F1151&lt;&gt;"",F1151&gt;0,U1151&lt;&gt;""),ROUND((U1151-N(K1151))/(F1151/60),0),"")</f>
        <v/>
      </c>
      <c r="W1151" s="6">
        <f>IF(U1151&lt;&gt;"",ROUND(N(K1151)/U1151*100,1),"")</f>
        <v/>
      </c>
    </row>
    <row r="1152">
      <c r="A1152" s="3" t="n"/>
      <c r="B1152" s="4" t="n"/>
      <c r="C1152" s="4" t="n"/>
      <c r="D1152" s="5" t="n"/>
      <c r="E1152" s="5" t="n"/>
      <c r="F1152" s="6">
        <f>IF(AND(D1152&lt;&gt;"",E1152&lt;&gt;""),ROUND((E1152-D1152)*1440,0),"")</f>
        <v/>
      </c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6">
        <f>IF(C1152="착유장",기준값!$B$3,IF(C1152="건유·육성우동",기준값!$B$2,""))</f>
        <v/>
      </c>
      <c r="V1152" s="6">
        <f>IF(AND(F1152&lt;&gt;"",F1152&gt;0,U1152&lt;&gt;""),ROUND((U1152-N(K1152))/(F1152/60),0),"")</f>
        <v/>
      </c>
      <c r="W1152" s="6">
        <f>IF(U1152&lt;&gt;"",ROUND(N(K1152)/U1152*100,1),"")</f>
        <v/>
      </c>
    </row>
    <row r="1153">
      <c r="A1153" s="3" t="n"/>
      <c r="B1153" s="4" t="n"/>
      <c r="C1153" s="4" t="n"/>
      <c r="D1153" s="5" t="n"/>
      <c r="E1153" s="5" t="n"/>
      <c r="F1153" s="6">
        <f>IF(AND(D1153&lt;&gt;"",E1153&lt;&gt;""),ROUND((E1153-D1153)*1440,0),"")</f>
        <v/>
      </c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6">
        <f>IF(C1153="착유장",기준값!$B$3,IF(C1153="건유·육성우동",기준값!$B$2,""))</f>
        <v/>
      </c>
      <c r="V1153" s="6">
        <f>IF(AND(F1153&lt;&gt;"",F1153&gt;0,U1153&lt;&gt;""),ROUND((U1153-N(K1153))/(F1153/60),0),"")</f>
        <v/>
      </c>
      <c r="W1153" s="6">
        <f>IF(U1153&lt;&gt;"",ROUND(N(K1153)/U1153*100,1),"")</f>
        <v/>
      </c>
    </row>
    <row r="1154">
      <c r="A1154" s="3" t="n"/>
      <c r="B1154" s="4" t="n"/>
      <c r="C1154" s="4" t="n"/>
      <c r="D1154" s="5" t="n"/>
      <c r="E1154" s="5" t="n"/>
      <c r="F1154" s="6">
        <f>IF(AND(D1154&lt;&gt;"",E1154&lt;&gt;""),ROUND((E1154-D1154)*1440,0),"")</f>
        <v/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6">
        <f>IF(C1154="착유장",기준값!$B$3,IF(C1154="건유·육성우동",기준값!$B$2,""))</f>
        <v/>
      </c>
      <c r="V1154" s="6">
        <f>IF(AND(F1154&lt;&gt;"",F1154&gt;0,U1154&lt;&gt;""),ROUND((U1154-N(K1154))/(F1154/60),0),"")</f>
        <v/>
      </c>
      <c r="W1154" s="6">
        <f>IF(U1154&lt;&gt;"",ROUND(N(K1154)/U1154*100,1),"")</f>
        <v/>
      </c>
    </row>
    <row r="1155">
      <c r="A1155" s="3" t="n"/>
      <c r="B1155" s="4" t="n"/>
      <c r="C1155" s="4" t="n"/>
      <c r="D1155" s="5" t="n"/>
      <c r="E1155" s="5" t="n"/>
      <c r="F1155" s="6">
        <f>IF(AND(D1155&lt;&gt;"",E1155&lt;&gt;""),ROUND((E1155-D1155)*1440,0),"")</f>
        <v/>
      </c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6">
        <f>IF(C1155="착유장",기준값!$B$3,IF(C1155="건유·육성우동",기준값!$B$2,""))</f>
        <v/>
      </c>
      <c r="V1155" s="6">
        <f>IF(AND(F1155&lt;&gt;"",F1155&gt;0,U1155&lt;&gt;""),ROUND((U1155-N(K1155))/(F1155/60),0),"")</f>
        <v/>
      </c>
      <c r="W1155" s="6">
        <f>IF(U1155&lt;&gt;"",ROUND(N(K1155)/U1155*100,1),"")</f>
        <v/>
      </c>
    </row>
    <row r="1156">
      <c r="A1156" s="3" t="n"/>
      <c r="B1156" s="4" t="n"/>
      <c r="C1156" s="4" t="n"/>
      <c r="D1156" s="5" t="n"/>
      <c r="E1156" s="5" t="n"/>
      <c r="F1156" s="6">
        <f>IF(AND(D1156&lt;&gt;"",E1156&lt;&gt;""),ROUND((E1156-D1156)*1440,0),"")</f>
        <v/>
      </c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6">
        <f>IF(C1156="착유장",기준값!$B$3,IF(C1156="건유·육성우동",기준값!$B$2,""))</f>
        <v/>
      </c>
      <c r="V1156" s="6">
        <f>IF(AND(F1156&lt;&gt;"",F1156&gt;0,U1156&lt;&gt;""),ROUND((U1156-N(K1156))/(F1156/60),0),"")</f>
        <v/>
      </c>
      <c r="W1156" s="6">
        <f>IF(U1156&lt;&gt;"",ROUND(N(K1156)/U1156*100,1),"")</f>
        <v/>
      </c>
    </row>
    <row r="1157">
      <c r="A1157" s="3" t="n"/>
      <c r="B1157" s="4" t="n"/>
      <c r="C1157" s="4" t="n"/>
      <c r="D1157" s="5" t="n"/>
      <c r="E1157" s="5" t="n"/>
      <c r="F1157" s="6">
        <f>IF(AND(D1157&lt;&gt;"",E1157&lt;&gt;""),ROUND((E1157-D1157)*1440,0),"")</f>
        <v/>
      </c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6">
        <f>IF(C1157="착유장",기준값!$B$3,IF(C1157="건유·육성우동",기준값!$B$2,""))</f>
        <v/>
      </c>
      <c r="V1157" s="6">
        <f>IF(AND(F1157&lt;&gt;"",F1157&gt;0,U1157&lt;&gt;""),ROUND((U1157-N(K1157))/(F1157/60),0),"")</f>
        <v/>
      </c>
      <c r="W1157" s="6">
        <f>IF(U1157&lt;&gt;"",ROUND(N(K1157)/U1157*100,1),"")</f>
        <v/>
      </c>
    </row>
    <row r="1158">
      <c r="A1158" s="3" t="n"/>
      <c r="B1158" s="4" t="n"/>
      <c r="C1158" s="4" t="n"/>
      <c r="D1158" s="5" t="n"/>
      <c r="E1158" s="5" t="n"/>
      <c r="F1158" s="6">
        <f>IF(AND(D1158&lt;&gt;"",E1158&lt;&gt;""),ROUND((E1158-D1158)*1440,0),"")</f>
        <v/>
      </c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6">
        <f>IF(C1158="착유장",기준값!$B$3,IF(C1158="건유·육성우동",기준값!$B$2,""))</f>
        <v/>
      </c>
      <c r="V1158" s="6">
        <f>IF(AND(F1158&lt;&gt;"",F1158&gt;0,U1158&lt;&gt;""),ROUND((U1158-N(K1158))/(F1158/60),0),"")</f>
        <v/>
      </c>
      <c r="W1158" s="6">
        <f>IF(U1158&lt;&gt;"",ROUND(N(K1158)/U1158*100,1),"")</f>
        <v/>
      </c>
    </row>
    <row r="1159">
      <c r="A1159" s="3" t="n"/>
      <c r="B1159" s="4" t="n"/>
      <c r="C1159" s="4" t="n"/>
      <c r="D1159" s="5" t="n"/>
      <c r="E1159" s="5" t="n"/>
      <c r="F1159" s="6">
        <f>IF(AND(D1159&lt;&gt;"",E1159&lt;&gt;""),ROUND((E1159-D1159)*1440,0),"")</f>
        <v/>
      </c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6">
        <f>IF(C1159="착유장",기준값!$B$3,IF(C1159="건유·육성우동",기준값!$B$2,""))</f>
        <v/>
      </c>
      <c r="V1159" s="6">
        <f>IF(AND(F1159&lt;&gt;"",F1159&gt;0,U1159&lt;&gt;""),ROUND((U1159-N(K1159))/(F1159/60),0),"")</f>
        <v/>
      </c>
      <c r="W1159" s="6">
        <f>IF(U1159&lt;&gt;"",ROUND(N(K1159)/U1159*100,1),"")</f>
        <v/>
      </c>
    </row>
    <row r="1160">
      <c r="A1160" s="3" t="n"/>
      <c r="B1160" s="4" t="n"/>
      <c r="C1160" s="4" t="n"/>
      <c r="D1160" s="5" t="n"/>
      <c r="E1160" s="5" t="n"/>
      <c r="F1160" s="6">
        <f>IF(AND(D1160&lt;&gt;"",E1160&lt;&gt;""),ROUND((E1160-D1160)*1440,0),"")</f>
        <v/>
      </c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6">
        <f>IF(C1160="착유장",기준값!$B$3,IF(C1160="건유·육성우동",기준값!$B$2,""))</f>
        <v/>
      </c>
      <c r="V1160" s="6">
        <f>IF(AND(F1160&lt;&gt;"",F1160&gt;0,U1160&lt;&gt;""),ROUND((U1160-N(K1160))/(F1160/60),0),"")</f>
        <v/>
      </c>
      <c r="W1160" s="6">
        <f>IF(U1160&lt;&gt;"",ROUND(N(K1160)/U1160*100,1),"")</f>
        <v/>
      </c>
    </row>
    <row r="1161">
      <c r="A1161" s="3" t="n"/>
      <c r="B1161" s="4" t="n"/>
      <c r="C1161" s="4" t="n"/>
      <c r="D1161" s="5" t="n"/>
      <c r="E1161" s="5" t="n"/>
      <c r="F1161" s="6">
        <f>IF(AND(D1161&lt;&gt;"",E1161&lt;&gt;""),ROUND((E1161-D1161)*1440,0),"")</f>
        <v/>
      </c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6">
        <f>IF(C1161="착유장",기준값!$B$3,IF(C1161="건유·육성우동",기준값!$B$2,""))</f>
        <v/>
      </c>
      <c r="V1161" s="6">
        <f>IF(AND(F1161&lt;&gt;"",F1161&gt;0,U1161&lt;&gt;""),ROUND((U1161-N(K1161))/(F1161/60),0),"")</f>
        <v/>
      </c>
      <c r="W1161" s="6">
        <f>IF(U1161&lt;&gt;"",ROUND(N(K1161)/U1161*100,1),"")</f>
        <v/>
      </c>
    </row>
    <row r="1162">
      <c r="A1162" s="3" t="n"/>
      <c r="B1162" s="4" t="n"/>
      <c r="C1162" s="4" t="n"/>
      <c r="D1162" s="5" t="n"/>
      <c r="E1162" s="5" t="n"/>
      <c r="F1162" s="6">
        <f>IF(AND(D1162&lt;&gt;"",E1162&lt;&gt;""),ROUND((E1162-D1162)*1440,0),"")</f>
        <v/>
      </c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6">
        <f>IF(C1162="착유장",기준값!$B$3,IF(C1162="건유·육성우동",기준값!$B$2,""))</f>
        <v/>
      </c>
      <c r="V1162" s="6">
        <f>IF(AND(F1162&lt;&gt;"",F1162&gt;0,U1162&lt;&gt;""),ROUND((U1162-N(K1162))/(F1162/60),0),"")</f>
        <v/>
      </c>
      <c r="W1162" s="6">
        <f>IF(U1162&lt;&gt;"",ROUND(N(K1162)/U1162*100,1),"")</f>
        <v/>
      </c>
    </row>
    <row r="1163">
      <c r="A1163" s="3" t="n"/>
      <c r="B1163" s="4" t="n"/>
      <c r="C1163" s="4" t="n"/>
      <c r="D1163" s="5" t="n"/>
      <c r="E1163" s="5" t="n"/>
      <c r="F1163" s="6">
        <f>IF(AND(D1163&lt;&gt;"",E1163&lt;&gt;""),ROUND((E1163-D1163)*1440,0),"")</f>
        <v/>
      </c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6">
        <f>IF(C1163="착유장",기준값!$B$3,IF(C1163="건유·육성우동",기준값!$B$2,""))</f>
        <v/>
      </c>
      <c r="V1163" s="6">
        <f>IF(AND(F1163&lt;&gt;"",F1163&gt;0,U1163&lt;&gt;""),ROUND((U1163-N(K1163))/(F1163/60),0),"")</f>
        <v/>
      </c>
      <c r="W1163" s="6">
        <f>IF(U1163&lt;&gt;"",ROUND(N(K1163)/U1163*100,1),"")</f>
        <v/>
      </c>
    </row>
    <row r="1164">
      <c r="A1164" s="3" t="n"/>
      <c r="B1164" s="4" t="n"/>
      <c r="C1164" s="4" t="n"/>
      <c r="D1164" s="5" t="n"/>
      <c r="E1164" s="5" t="n"/>
      <c r="F1164" s="6">
        <f>IF(AND(D1164&lt;&gt;"",E1164&lt;&gt;""),ROUND((E1164-D1164)*1440,0),"")</f>
        <v/>
      </c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6">
        <f>IF(C1164="착유장",기준값!$B$3,IF(C1164="건유·육성우동",기준값!$B$2,""))</f>
        <v/>
      </c>
      <c r="V1164" s="6">
        <f>IF(AND(F1164&lt;&gt;"",F1164&gt;0,U1164&lt;&gt;""),ROUND((U1164-N(K1164))/(F1164/60),0),"")</f>
        <v/>
      </c>
      <c r="W1164" s="6">
        <f>IF(U1164&lt;&gt;"",ROUND(N(K1164)/U1164*100,1),"")</f>
        <v/>
      </c>
    </row>
    <row r="1165">
      <c r="A1165" s="3" t="n"/>
      <c r="B1165" s="4" t="n"/>
      <c r="C1165" s="4" t="n"/>
      <c r="D1165" s="5" t="n"/>
      <c r="E1165" s="5" t="n"/>
      <c r="F1165" s="6">
        <f>IF(AND(D1165&lt;&gt;"",E1165&lt;&gt;""),ROUND((E1165-D1165)*1440,0),"")</f>
        <v/>
      </c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6">
        <f>IF(C1165="착유장",기준값!$B$3,IF(C1165="건유·육성우동",기준값!$B$2,""))</f>
        <v/>
      </c>
      <c r="V1165" s="6">
        <f>IF(AND(F1165&lt;&gt;"",F1165&gt;0,U1165&lt;&gt;""),ROUND((U1165-N(K1165))/(F1165/60),0),"")</f>
        <v/>
      </c>
      <c r="W1165" s="6">
        <f>IF(U1165&lt;&gt;"",ROUND(N(K1165)/U1165*100,1),"")</f>
        <v/>
      </c>
    </row>
    <row r="1166">
      <c r="A1166" s="3" t="n"/>
      <c r="B1166" s="4" t="n"/>
      <c r="C1166" s="4" t="n"/>
      <c r="D1166" s="5" t="n"/>
      <c r="E1166" s="5" t="n"/>
      <c r="F1166" s="6">
        <f>IF(AND(D1166&lt;&gt;"",E1166&lt;&gt;""),ROUND((E1166-D1166)*1440,0),"")</f>
        <v/>
      </c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6">
        <f>IF(C1166="착유장",기준값!$B$3,IF(C1166="건유·육성우동",기준값!$B$2,""))</f>
        <v/>
      </c>
      <c r="V1166" s="6">
        <f>IF(AND(F1166&lt;&gt;"",F1166&gt;0,U1166&lt;&gt;""),ROUND((U1166-N(K1166))/(F1166/60),0),"")</f>
        <v/>
      </c>
      <c r="W1166" s="6">
        <f>IF(U1166&lt;&gt;"",ROUND(N(K1166)/U1166*100,1),"")</f>
        <v/>
      </c>
    </row>
    <row r="1167">
      <c r="A1167" s="3" t="n"/>
      <c r="B1167" s="4" t="n"/>
      <c r="C1167" s="4" t="n"/>
      <c r="D1167" s="5" t="n"/>
      <c r="E1167" s="5" t="n"/>
      <c r="F1167" s="6">
        <f>IF(AND(D1167&lt;&gt;"",E1167&lt;&gt;""),ROUND((E1167-D1167)*1440,0),"")</f>
        <v/>
      </c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6">
        <f>IF(C1167="착유장",기준값!$B$3,IF(C1167="건유·육성우동",기준값!$B$2,""))</f>
        <v/>
      </c>
      <c r="V1167" s="6">
        <f>IF(AND(F1167&lt;&gt;"",F1167&gt;0,U1167&lt;&gt;""),ROUND((U1167-N(K1167))/(F1167/60),0),"")</f>
        <v/>
      </c>
      <c r="W1167" s="6">
        <f>IF(U1167&lt;&gt;"",ROUND(N(K1167)/U1167*100,1),"")</f>
        <v/>
      </c>
    </row>
    <row r="1168">
      <c r="A1168" s="3" t="n"/>
      <c r="B1168" s="4" t="n"/>
      <c r="C1168" s="4" t="n"/>
      <c r="D1168" s="5" t="n"/>
      <c r="E1168" s="5" t="n"/>
      <c r="F1168" s="6">
        <f>IF(AND(D1168&lt;&gt;"",E1168&lt;&gt;""),ROUND((E1168-D1168)*1440,0),"")</f>
        <v/>
      </c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6">
        <f>IF(C1168="착유장",기준값!$B$3,IF(C1168="건유·육성우동",기준값!$B$2,""))</f>
        <v/>
      </c>
      <c r="V1168" s="6">
        <f>IF(AND(F1168&lt;&gt;"",F1168&gt;0,U1168&lt;&gt;""),ROUND((U1168-N(K1168))/(F1168/60),0),"")</f>
        <v/>
      </c>
      <c r="W1168" s="6">
        <f>IF(U1168&lt;&gt;"",ROUND(N(K1168)/U1168*100,1),"")</f>
        <v/>
      </c>
    </row>
    <row r="1169">
      <c r="A1169" s="3" t="n"/>
      <c r="B1169" s="4" t="n"/>
      <c r="C1169" s="4" t="n"/>
      <c r="D1169" s="5" t="n"/>
      <c r="E1169" s="5" t="n"/>
      <c r="F1169" s="6">
        <f>IF(AND(D1169&lt;&gt;"",E1169&lt;&gt;""),ROUND((E1169-D1169)*1440,0),"")</f>
        <v/>
      </c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6">
        <f>IF(C1169="착유장",기준값!$B$3,IF(C1169="건유·육성우동",기준값!$B$2,""))</f>
        <v/>
      </c>
      <c r="V1169" s="6">
        <f>IF(AND(F1169&lt;&gt;"",F1169&gt;0,U1169&lt;&gt;""),ROUND((U1169-N(K1169))/(F1169/60),0),"")</f>
        <v/>
      </c>
      <c r="W1169" s="6">
        <f>IF(U1169&lt;&gt;"",ROUND(N(K1169)/U1169*100,1),"")</f>
        <v/>
      </c>
    </row>
    <row r="1170">
      <c r="A1170" s="3" t="n"/>
      <c r="B1170" s="4" t="n"/>
      <c r="C1170" s="4" t="n"/>
      <c r="D1170" s="5" t="n"/>
      <c r="E1170" s="5" t="n"/>
      <c r="F1170" s="6">
        <f>IF(AND(D1170&lt;&gt;"",E1170&lt;&gt;""),ROUND((E1170-D1170)*1440,0),"")</f>
        <v/>
      </c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6">
        <f>IF(C1170="착유장",기준값!$B$3,IF(C1170="건유·육성우동",기준값!$B$2,""))</f>
        <v/>
      </c>
      <c r="V1170" s="6">
        <f>IF(AND(F1170&lt;&gt;"",F1170&gt;0,U1170&lt;&gt;""),ROUND((U1170-N(K1170))/(F1170/60),0),"")</f>
        <v/>
      </c>
      <c r="W1170" s="6">
        <f>IF(U1170&lt;&gt;"",ROUND(N(K1170)/U1170*100,1),"")</f>
        <v/>
      </c>
    </row>
    <row r="1171">
      <c r="A1171" s="3" t="n"/>
      <c r="B1171" s="4" t="n"/>
      <c r="C1171" s="4" t="n"/>
      <c r="D1171" s="5" t="n"/>
      <c r="E1171" s="5" t="n"/>
      <c r="F1171" s="6">
        <f>IF(AND(D1171&lt;&gt;"",E1171&lt;&gt;""),ROUND((E1171-D1171)*1440,0),"")</f>
        <v/>
      </c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6">
        <f>IF(C1171="착유장",기준값!$B$3,IF(C1171="건유·육성우동",기준값!$B$2,""))</f>
        <v/>
      </c>
      <c r="V1171" s="6">
        <f>IF(AND(F1171&lt;&gt;"",F1171&gt;0,U1171&lt;&gt;""),ROUND((U1171-N(K1171))/(F1171/60),0),"")</f>
        <v/>
      </c>
      <c r="W1171" s="6">
        <f>IF(U1171&lt;&gt;"",ROUND(N(K1171)/U1171*100,1),"")</f>
        <v/>
      </c>
    </row>
    <row r="1172">
      <c r="A1172" s="3" t="n"/>
      <c r="B1172" s="4" t="n"/>
      <c r="C1172" s="4" t="n"/>
      <c r="D1172" s="5" t="n"/>
      <c r="E1172" s="5" t="n"/>
      <c r="F1172" s="6">
        <f>IF(AND(D1172&lt;&gt;"",E1172&lt;&gt;""),ROUND((E1172-D1172)*1440,0),"")</f>
        <v/>
      </c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6">
        <f>IF(C1172="착유장",기준값!$B$3,IF(C1172="건유·육성우동",기준값!$B$2,""))</f>
        <v/>
      </c>
      <c r="V1172" s="6">
        <f>IF(AND(F1172&lt;&gt;"",F1172&gt;0,U1172&lt;&gt;""),ROUND((U1172-N(K1172))/(F1172/60),0),"")</f>
        <v/>
      </c>
      <c r="W1172" s="6">
        <f>IF(U1172&lt;&gt;"",ROUND(N(K1172)/U1172*100,1),"")</f>
        <v/>
      </c>
    </row>
    <row r="1173">
      <c r="A1173" s="3" t="n"/>
      <c r="B1173" s="4" t="n"/>
      <c r="C1173" s="4" t="n"/>
      <c r="D1173" s="5" t="n"/>
      <c r="E1173" s="5" t="n"/>
      <c r="F1173" s="6">
        <f>IF(AND(D1173&lt;&gt;"",E1173&lt;&gt;""),ROUND((E1173-D1173)*1440,0),"")</f>
        <v/>
      </c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6">
        <f>IF(C1173="착유장",기준값!$B$3,IF(C1173="건유·육성우동",기준값!$B$2,""))</f>
        <v/>
      </c>
      <c r="V1173" s="6">
        <f>IF(AND(F1173&lt;&gt;"",F1173&gt;0,U1173&lt;&gt;""),ROUND((U1173-N(K1173))/(F1173/60),0),"")</f>
        <v/>
      </c>
      <c r="W1173" s="6">
        <f>IF(U1173&lt;&gt;"",ROUND(N(K1173)/U1173*100,1),"")</f>
        <v/>
      </c>
    </row>
    <row r="1174">
      <c r="A1174" s="3" t="n"/>
      <c r="B1174" s="4" t="n"/>
      <c r="C1174" s="4" t="n"/>
      <c r="D1174" s="5" t="n"/>
      <c r="E1174" s="5" t="n"/>
      <c r="F1174" s="6">
        <f>IF(AND(D1174&lt;&gt;"",E1174&lt;&gt;""),ROUND((E1174-D1174)*1440,0),"")</f>
        <v/>
      </c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6">
        <f>IF(C1174="착유장",기준값!$B$3,IF(C1174="건유·육성우동",기준값!$B$2,""))</f>
        <v/>
      </c>
      <c r="V1174" s="6">
        <f>IF(AND(F1174&lt;&gt;"",F1174&gt;0,U1174&lt;&gt;""),ROUND((U1174-N(K1174))/(F1174/60),0),"")</f>
        <v/>
      </c>
      <c r="W1174" s="6">
        <f>IF(U1174&lt;&gt;"",ROUND(N(K1174)/U1174*100,1),"")</f>
        <v/>
      </c>
    </row>
    <row r="1175">
      <c r="A1175" s="3" t="n"/>
      <c r="B1175" s="4" t="n"/>
      <c r="C1175" s="4" t="n"/>
      <c r="D1175" s="5" t="n"/>
      <c r="E1175" s="5" t="n"/>
      <c r="F1175" s="6">
        <f>IF(AND(D1175&lt;&gt;"",E1175&lt;&gt;""),ROUND((E1175-D1175)*1440,0),"")</f>
        <v/>
      </c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6">
        <f>IF(C1175="착유장",기준값!$B$3,IF(C1175="건유·육성우동",기준값!$B$2,""))</f>
        <v/>
      </c>
      <c r="V1175" s="6">
        <f>IF(AND(F1175&lt;&gt;"",F1175&gt;0,U1175&lt;&gt;""),ROUND((U1175-N(K1175))/(F1175/60),0),"")</f>
        <v/>
      </c>
      <c r="W1175" s="6">
        <f>IF(U1175&lt;&gt;"",ROUND(N(K1175)/U1175*100,1),"")</f>
        <v/>
      </c>
    </row>
    <row r="1176">
      <c r="A1176" s="3" t="n"/>
      <c r="B1176" s="4" t="n"/>
      <c r="C1176" s="4" t="n"/>
      <c r="D1176" s="5" t="n"/>
      <c r="E1176" s="5" t="n"/>
      <c r="F1176" s="6">
        <f>IF(AND(D1176&lt;&gt;"",E1176&lt;&gt;""),ROUND((E1176-D1176)*1440,0),"")</f>
        <v/>
      </c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6">
        <f>IF(C1176="착유장",기준값!$B$3,IF(C1176="건유·육성우동",기준값!$B$2,""))</f>
        <v/>
      </c>
      <c r="V1176" s="6">
        <f>IF(AND(F1176&lt;&gt;"",F1176&gt;0,U1176&lt;&gt;""),ROUND((U1176-N(K1176))/(F1176/60),0),"")</f>
        <v/>
      </c>
      <c r="W1176" s="6">
        <f>IF(U1176&lt;&gt;"",ROUND(N(K1176)/U1176*100,1),"")</f>
        <v/>
      </c>
    </row>
    <row r="1177">
      <c r="A1177" s="3" t="n"/>
      <c r="B1177" s="4" t="n"/>
      <c r="C1177" s="4" t="n"/>
      <c r="D1177" s="5" t="n"/>
      <c r="E1177" s="5" t="n"/>
      <c r="F1177" s="6">
        <f>IF(AND(D1177&lt;&gt;"",E1177&lt;&gt;""),ROUND((E1177-D1177)*1440,0),"")</f>
        <v/>
      </c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6">
        <f>IF(C1177="착유장",기준값!$B$3,IF(C1177="건유·육성우동",기준값!$B$2,""))</f>
        <v/>
      </c>
      <c r="V1177" s="6">
        <f>IF(AND(F1177&lt;&gt;"",F1177&gt;0,U1177&lt;&gt;""),ROUND((U1177-N(K1177))/(F1177/60),0),"")</f>
        <v/>
      </c>
      <c r="W1177" s="6">
        <f>IF(U1177&lt;&gt;"",ROUND(N(K1177)/U1177*100,1),"")</f>
        <v/>
      </c>
    </row>
    <row r="1178">
      <c r="A1178" s="3" t="n"/>
      <c r="B1178" s="4" t="n"/>
      <c r="C1178" s="4" t="n"/>
      <c r="D1178" s="5" t="n"/>
      <c r="E1178" s="5" t="n"/>
      <c r="F1178" s="6">
        <f>IF(AND(D1178&lt;&gt;"",E1178&lt;&gt;""),ROUND((E1178-D1178)*1440,0),"")</f>
        <v/>
      </c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6">
        <f>IF(C1178="착유장",기준값!$B$3,IF(C1178="건유·육성우동",기준값!$B$2,""))</f>
        <v/>
      </c>
      <c r="V1178" s="6">
        <f>IF(AND(F1178&lt;&gt;"",F1178&gt;0,U1178&lt;&gt;""),ROUND((U1178-N(K1178))/(F1178/60),0),"")</f>
        <v/>
      </c>
      <c r="W1178" s="6">
        <f>IF(U1178&lt;&gt;"",ROUND(N(K1178)/U1178*100,1),"")</f>
        <v/>
      </c>
    </row>
    <row r="1179">
      <c r="A1179" s="3" t="n"/>
      <c r="B1179" s="4" t="n"/>
      <c r="C1179" s="4" t="n"/>
      <c r="D1179" s="5" t="n"/>
      <c r="E1179" s="5" t="n"/>
      <c r="F1179" s="6">
        <f>IF(AND(D1179&lt;&gt;"",E1179&lt;&gt;""),ROUND((E1179-D1179)*1440,0),"")</f>
        <v/>
      </c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6">
        <f>IF(C1179="착유장",기준값!$B$3,IF(C1179="건유·육성우동",기준값!$B$2,""))</f>
        <v/>
      </c>
      <c r="V1179" s="6">
        <f>IF(AND(F1179&lt;&gt;"",F1179&gt;0,U1179&lt;&gt;""),ROUND((U1179-N(K1179))/(F1179/60),0),"")</f>
        <v/>
      </c>
      <c r="W1179" s="6">
        <f>IF(U1179&lt;&gt;"",ROUND(N(K1179)/U1179*100,1),"")</f>
        <v/>
      </c>
    </row>
    <row r="1180">
      <c r="A1180" s="3" t="n"/>
      <c r="B1180" s="4" t="n"/>
      <c r="C1180" s="4" t="n"/>
      <c r="D1180" s="5" t="n"/>
      <c r="E1180" s="5" t="n"/>
      <c r="F1180" s="6">
        <f>IF(AND(D1180&lt;&gt;"",E1180&lt;&gt;""),ROUND((E1180-D1180)*1440,0),"")</f>
        <v/>
      </c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6">
        <f>IF(C1180="착유장",기준값!$B$3,IF(C1180="건유·육성우동",기준값!$B$2,""))</f>
        <v/>
      </c>
      <c r="V1180" s="6">
        <f>IF(AND(F1180&lt;&gt;"",F1180&gt;0,U1180&lt;&gt;""),ROUND((U1180-N(K1180))/(F1180/60),0),"")</f>
        <v/>
      </c>
      <c r="W1180" s="6">
        <f>IF(U1180&lt;&gt;"",ROUND(N(K1180)/U1180*100,1),"")</f>
        <v/>
      </c>
    </row>
    <row r="1181">
      <c r="A1181" s="3" t="n"/>
      <c r="B1181" s="4" t="n"/>
      <c r="C1181" s="4" t="n"/>
      <c r="D1181" s="5" t="n"/>
      <c r="E1181" s="5" t="n"/>
      <c r="F1181" s="6">
        <f>IF(AND(D1181&lt;&gt;"",E1181&lt;&gt;""),ROUND((E1181-D1181)*1440,0),"")</f>
        <v/>
      </c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6">
        <f>IF(C1181="착유장",기준값!$B$3,IF(C1181="건유·육성우동",기준값!$B$2,""))</f>
        <v/>
      </c>
      <c r="V1181" s="6">
        <f>IF(AND(F1181&lt;&gt;"",F1181&gt;0,U1181&lt;&gt;""),ROUND((U1181-N(K1181))/(F1181/60),0),"")</f>
        <v/>
      </c>
      <c r="W1181" s="6">
        <f>IF(U1181&lt;&gt;"",ROUND(N(K1181)/U1181*100,1),"")</f>
        <v/>
      </c>
    </row>
    <row r="1182">
      <c r="A1182" s="3" t="n"/>
      <c r="B1182" s="4" t="n"/>
      <c r="C1182" s="4" t="n"/>
      <c r="D1182" s="5" t="n"/>
      <c r="E1182" s="5" t="n"/>
      <c r="F1182" s="6">
        <f>IF(AND(D1182&lt;&gt;"",E1182&lt;&gt;""),ROUND((E1182-D1182)*1440,0),"")</f>
        <v/>
      </c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6">
        <f>IF(C1182="착유장",기준값!$B$3,IF(C1182="건유·육성우동",기준값!$B$2,""))</f>
        <v/>
      </c>
      <c r="V1182" s="6">
        <f>IF(AND(F1182&lt;&gt;"",F1182&gt;0,U1182&lt;&gt;""),ROUND((U1182-N(K1182))/(F1182/60),0),"")</f>
        <v/>
      </c>
      <c r="W1182" s="6">
        <f>IF(U1182&lt;&gt;"",ROUND(N(K1182)/U1182*100,1),"")</f>
        <v/>
      </c>
    </row>
    <row r="1183">
      <c r="A1183" s="3" t="n"/>
      <c r="B1183" s="4" t="n"/>
      <c r="C1183" s="4" t="n"/>
      <c r="D1183" s="5" t="n"/>
      <c r="E1183" s="5" t="n"/>
      <c r="F1183" s="6">
        <f>IF(AND(D1183&lt;&gt;"",E1183&lt;&gt;""),ROUND((E1183-D1183)*1440,0),"")</f>
        <v/>
      </c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6">
        <f>IF(C1183="착유장",기준값!$B$3,IF(C1183="건유·육성우동",기준값!$B$2,""))</f>
        <v/>
      </c>
      <c r="V1183" s="6">
        <f>IF(AND(F1183&lt;&gt;"",F1183&gt;0,U1183&lt;&gt;""),ROUND((U1183-N(K1183))/(F1183/60),0),"")</f>
        <v/>
      </c>
      <c r="W1183" s="6">
        <f>IF(U1183&lt;&gt;"",ROUND(N(K1183)/U1183*100,1),"")</f>
        <v/>
      </c>
    </row>
    <row r="1184">
      <c r="A1184" s="3" t="n"/>
      <c r="B1184" s="4" t="n"/>
      <c r="C1184" s="4" t="n"/>
      <c r="D1184" s="5" t="n"/>
      <c r="E1184" s="5" t="n"/>
      <c r="F1184" s="6">
        <f>IF(AND(D1184&lt;&gt;"",E1184&lt;&gt;""),ROUND((E1184-D1184)*1440,0),"")</f>
        <v/>
      </c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6">
        <f>IF(C1184="착유장",기준값!$B$3,IF(C1184="건유·육성우동",기준값!$B$2,""))</f>
        <v/>
      </c>
      <c r="V1184" s="6">
        <f>IF(AND(F1184&lt;&gt;"",F1184&gt;0,U1184&lt;&gt;""),ROUND((U1184-N(K1184))/(F1184/60),0),"")</f>
        <v/>
      </c>
      <c r="W1184" s="6">
        <f>IF(U1184&lt;&gt;"",ROUND(N(K1184)/U1184*100,1),"")</f>
        <v/>
      </c>
    </row>
    <row r="1185">
      <c r="A1185" s="3" t="n"/>
      <c r="B1185" s="4" t="n"/>
      <c r="C1185" s="4" t="n"/>
      <c r="D1185" s="5" t="n"/>
      <c r="E1185" s="5" t="n"/>
      <c r="F1185" s="6">
        <f>IF(AND(D1185&lt;&gt;"",E1185&lt;&gt;""),ROUND((E1185-D1185)*1440,0),"")</f>
        <v/>
      </c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6">
        <f>IF(C1185="착유장",기준값!$B$3,IF(C1185="건유·육성우동",기준값!$B$2,""))</f>
        <v/>
      </c>
      <c r="V1185" s="6">
        <f>IF(AND(F1185&lt;&gt;"",F1185&gt;0,U1185&lt;&gt;""),ROUND((U1185-N(K1185))/(F1185/60),0),"")</f>
        <v/>
      </c>
      <c r="W1185" s="6">
        <f>IF(U1185&lt;&gt;"",ROUND(N(K1185)/U1185*100,1),"")</f>
        <v/>
      </c>
    </row>
    <row r="1186">
      <c r="A1186" s="3" t="n"/>
      <c r="B1186" s="4" t="n"/>
      <c r="C1186" s="4" t="n"/>
      <c r="D1186" s="5" t="n"/>
      <c r="E1186" s="5" t="n"/>
      <c r="F1186" s="6">
        <f>IF(AND(D1186&lt;&gt;"",E1186&lt;&gt;""),ROUND((E1186-D1186)*1440,0),"")</f>
        <v/>
      </c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6">
        <f>IF(C1186="착유장",기준값!$B$3,IF(C1186="건유·육성우동",기준값!$B$2,""))</f>
        <v/>
      </c>
      <c r="V1186" s="6">
        <f>IF(AND(F1186&lt;&gt;"",F1186&gt;0,U1186&lt;&gt;""),ROUND((U1186-N(K1186))/(F1186/60),0),"")</f>
        <v/>
      </c>
      <c r="W1186" s="6">
        <f>IF(U1186&lt;&gt;"",ROUND(N(K1186)/U1186*100,1),"")</f>
        <v/>
      </c>
    </row>
    <row r="1187">
      <c r="A1187" s="3" t="n"/>
      <c r="B1187" s="4" t="n"/>
      <c r="C1187" s="4" t="n"/>
      <c r="D1187" s="5" t="n"/>
      <c r="E1187" s="5" t="n"/>
      <c r="F1187" s="6">
        <f>IF(AND(D1187&lt;&gt;"",E1187&lt;&gt;""),ROUND((E1187-D1187)*1440,0),"")</f>
        <v/>
      </c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6">
        <f>IF(C1187="착유장",기준값!$B$3,IF(C1187="건유·육성우동",기준값!$B$2,""))</f>
        <v/>
      </c>
      <c r="V1187" s="6">
        <f>IF(AND(F1187&lt;&gt;"",F1187&gt;0,U1187&lt;&gt;""),ROUND((U1187-N(K1187))/(F1187/60),0),"")</f>
        <v/>
      </c>
      <c r="W1187" s="6">
        <f>IF(U1187&lt;&gt;"",ROUND(N(K1187)/U1187*100,1),"")</f>
        <v/>
      </c>
    </row>
    <row r="1188">
      <c r="A1188" s="3" t="n"/>
      <c r="B1188" s="4" t="n"/>
      <c r="C1188" s="4" t="n"/>
      <c r="D1188" s="5" t="n"/>
      <c r="E1188" s="5" t="n"/>
      <c r="F1188" s="6">
        <f>IF(AND(D1188&lt;&gt;"",E1188&lt;&gt;""),ROUND((E1188-D1188)*1440,0),"")</f>
        <v/>
      </c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6">
        <f>IF(C1188="착유장",기준값!$B$3,IF(C1188="건유·육성우동",기준값!$B$2,""))</f>
        <v/>
      </c>
      <c r="V1188" s="6">
        <f>IF(AND(F1188&lt;&gt;"",F1188&gt;0,U1188&lt;&gt;""),ROUND((U1188-N(K1188))/(F1188/60),0),"")</f>
        <v/>
      </c>
      <c r="W1188" s="6">
        <f>IF(U1188&lt;&gt;"",ROUND(N(K1188)/U1188*100,1),"")</f>
        <v/>
      </c>
    </row>
    <row r="1189">
      <c r="A1189" s="3" t="n"/>
      <c r="B1189" s="4" t="n"/>
      <c r="C1189" s="4" t="n"/>
      <c r="D1189" s="5" t="n"/>
      <c r="E1189" s="5" t="n"/>
      <c r="F1189" s="6">
        <f>IF(AND(D1189&lt;&gt;"",E1189&lt;&gt;""),ROUND((E1189-D1189)*1440,0),"")</f>
        <v/>
      </c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6">
        <f>IF(C1189="착유장",기준값!$B$3,IF(C1189="건유·육성우동",기준값!$B$2,""))</f>
        <v/>
      </c>
      <c r="V1189" s="6">
        <f>IF(AND(F1189&lt;&gt;"",F1189&gt;0,U1189&lt;&gt;""),ROUND((U1189-N(K1189))/(F1189/60),0),"")</f>
        <v/>
      </c>
      <c r="W1189" s="6">
        <f>IF(U1189&lt;&gt;"",ROUND(N(K1189)/U1189*100,1),"")</f>
        <v/>
      </c>
    </row>
    <row r="1190">
      <c r="A1190" s="3" t="n"/>
      <c r="B1190" s="4" t="n"/>
      <c r="C1190" s="4" t="n"/>
      <c r="D1190" s="5" t="n"/>
      <c r="E1190" s="5" t="n"/>
      <c r="F1190" s="6">
        <f>IF(AND(D1190&lt;&gt;"",E1190&lt;&gt;""),ROUND((E1190-D1190)*1440,0),"")</f>
        <v/>
      </c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6">
        <f>IF(C1190="착유장",기준값!$B$3,IF(C1190="건유·육성우동",기준값!$B$2,""))</f>
        <v/>
      </c>
      <c r="V1190" s="6">
        <f>IF(AND(F1190&lt;&gt;"",F1190&gt;0,U1190&lt;&gt;""),ROUND((U1190-N(K1190))/(F1190/60),0),"")</f>
        <v/>
      </c>
      <c r="W1190" s="6">
        <f>IF(U1190&lt;&gt;"",ROUND(N(K1190)/U1190*100,1),"")</f>
        <v/>
      </c>
    </row>
    <row r="1191">
      <c r="A1191" s="3" t="n"/>
      <c r="B1191" s="4" t="n"/>
      <c r="C1191" s="4" t="n"/>
      <c r="D1191" s="5" t="n"/>
      <c r="E1191" s="5" t="n"/>
      <c r="F1191" s="6">
        <f>IF(AND(D1191&lt;&gt;"",E1191&lt;&gt;""),ROUND((E1191-D1191)*1440,0),"")</f>
        <v/>
      </c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6">
        <f>IF(C1191="착유장",기준값!$B$3,IF(C1191="건유·육성우동",기준값!$B$2,""))</f>
        <v/>
      </c>
      <c r="V1191" s="6">
        <f>IF(AND(F1191&lt;&gt;"",F1191&gt;0,U1191&lt;&gt;""),ROUND((U1191-N(K1191))/(F1191/60),0),"")</f>
        <v/>
      </c>
      <c r="W1191" s="6">
        <f>IF(U1191&lt;&gt;"",ROUND(N(K1191)/U1191*100,1),"")</f>
        <v/>
      </c>
    </row>
    <row r="1192">
      <c r="A1192" s="3" t="n"/>
      <c r="B1192" s="4" t="n"/>
      <c r="C1192" s="4" t="n"/>
      <c r="D1192" s="5" t="n"/>
      <c r="E1192" s="5" t="n"/>
      <c r="F1192" s="6">
        <f>IF(AND(D1192&lt;&gt;"",E1192&lt;&gt;""),ROUND((E1192-D1192)*1440,0),"")</f>
        <v/>
      </c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6">
        <f>IF(C1192="착유장",기준값!$B$3,IF(C1192="건유·육성우동",기준값!$B$2,""))</f>
        <v/>
      </c>
      <c r="V1192" s="6">
        <f>IF(AND(F1192&lt;&gt;"",F1192&gt;0,U1192&lt;&gt;""),ROUND((U1192-N(K1192))/(F1192/60),0),"")</f>
        <v/>
      </c>
      <c r="W1192" s="6">
        <f>IF(U1192&lt;&gt;"",ROUND(N(K1192)/U1192*100,1),"")</f>
        <v/>
      </c>
    </row>
    <row r="1193">
      <c r="A1193" s="3" t="n"/>
      <c r="B1193" s="4" t="n"/>
      <c r="C1193" s="4" t="n"/>
      <c r="D1193" s="5" t="n"/>
      <c r="E1193" s="5" t="n"/>
      <c r="F1193" s="6">
        <f>IF(AND(D1193&lt;&gt;"",E1193&lt;&gt;""),ROUND((E1193-D1193)*1440,0),"")</f>
        <v/>
      </c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6">
        <f>IF(C1193="착유장",기준값!$B$3,IF(C1193="건유·육성우동",기준값!$B$2,""))</f>
        <v/>
      </c>
      <c r="V1193" s="6">
        <f>IF(AND(F1193&lt;&gt;"",F1193&gt;0,U1193&lt;&gt;""),ROUND((U1193-N(K1193))/(F1193/60),0),"")</f>
        <v/>
      </c>
      <c r="W1193" s="6">
        <f>IF(U1193&lt;&gt;"",ROUND(N(K1193)/U1193*100,1),"")</f>
        <v/>
      </c>
    </row>
    <row r="1194">
      <c r="A1194" s="3" t="n"/>
      <c r="B1194" s="4" t="n"/>
      <c r="C1194" s="4" t="n"/>
      <c r="D1194" s="5" t="n"/>
      <c r="E1194" s="5" t="n"/>
      <c r="F1194" s="6">
        <f>IF(AND(D1194&lt;&gt;"",E1194&lt;&gt;""),ROUND((E1194-D1194)*1440,0),"")</f>
        <v/>
      </c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6">
        <f>IF(C1194="착유장",기준값!$B$3,IF(C1194="건유·육성우동",기준값!$B$2,""))</f>
        <v/>
      </c>
      <c r="V1194" s="6">
        <f>IF(AND(F1194&lt;&gt;"",F1194&gt;0,U1194&lt;&gt;""),ROUND((U1194-N(K1194))/(F1194/60),0),"")</f>
        <v/>
      </c>
      <c r="W1194" s="6">
        <f>IF(U1194&lt;&gt;"",ROUND(N(K1194)/U1194*100,1),"")</f>
        <v/>
      </c>
    </row>
    <row r="1195">
      <c r="A1195" s="3" t="n"/>
      <c r="B1195" s="4" t="n"/>
      <c r="C1195" s="4" t="n"/>
      <c r="D1195" s="5" t="n"/>
      <c r="E1195" s="5" t="n"/>
      <c r="F1195" s="6">
        <f>IF(AND(D1195&lt;&gt;"",E1195&lt;&gt;""),ROUND((E1195-D1195)*1440,0),"")</f>
        <v/>
      </c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6">
        <f>IF(C1195="착유장",기준값!$B$3,IF(C1195="건유·육성우동",기준값!$B$2,""))</f>
        <v/>
      </c>
      <c r="V1195" s="6">
        <f>IF(AND(F1195&lt;&gt;"",F1195&gt;0,U1195&lt;&gt;""),ROUND((U1195-N(K1195))/(F1195/60),0),"")</f>
        <v/>
      </c>
      <c r="W1195" s="6">
        <f>IF(U1195&lt;&gt;"",ROUND(N(K1195)/U1195*100,1),"")</f>
        <v/>
      </c>
    </row>
    <row r="1196">
      <c r="A1196" s="3" t="n"/>
      <c r="B1196" s="4" t="n"/>
      <c r="C1196" s="4" t="n"/>
      <c r="D1196" s="5" t="n"/>
      <c r="E1196" s="5" t="n"/>
      <c r="F1196" s="6">
        <f>IF(AND(D1196&lt;&gt;"",E1196&lt;&gt;""),ROUND((E1196-D1196)*1440,0),"")</f>
        <v/>
      </c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6">
        <f>IF(C1196="착유장",기준값!$B$3,IF(C1196="건유·육성우동",기준값!$B$2,""))</f>
        <v/>
      </c>
      <c r="V1196" s="6">
        <f>IF(AND(F1196&lt;&gt;"",F1196&gt;0,U1196&lt;&gt;""),ROUND((U1196-N(K1196))/(F1196/60),0),"")</f>
        <v/>
      </c>
      <c r="W1196" s="6">
        <f>IF(U1196&lt;&gt;"",ROUND(N(K1196)/U1196*100,1),"")</f>
        <v/>
      </c>
    </row>
    <row r="1197">
      <c r="A1197" s="3" t="n"/>
      <c r="B1197" s="4" t="n"/>
      <c r="C1197" s="4" t="n"/>
      <c r="D1197" s="5" t="n"/>
      <c r="E1197" s="5" t="n"/>
      <c r="F1197" s="6">
        <f>IF(AND(D1197&lt;&gt;"",E1197&lt;&gt;""),ROUND((E1197-D1197)*1440,0),"")</f>
        <v/>
      </c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6">
        <f>IF(C1197="착유장",기준값!$B$3,IF(C1197="건유·육성우동",기준값!$B$2,""))</f>
        <v/>
      </c>
      <c r="V1197" s="6">
        <f>IF(AND(F1197&lt;&gt;"",F1197&gt;0,U1197&lt;&gt;""),ROUND((U1197-N(K1197))/(F1197/60),0),"")</f>
        <v/>
      </c>
      <c r="W1197" s="6">
        <f>IF(U1197&lt;&gt;"",ROUND(N(K1197)/U1197*100,1),"")</f>
        <v/>
      </c>
    </row>
    <row r="1198">
      <c r="A1198" s="3" t="n"/>
      <c r="B1198" s="4" t="n"/>
      <c r="C1198" s="4" t="n"/>
      <c r="D1198" s="5" t="n"/>
      <c r="E1198" s="5" t="n"/>
      <c r="F1198" s="6">
        <f>IF(AND(D1198&lt;&gt;"",E1198&lt;&gt;""),ROUND((E1198-D1198)*1440,0),"")</f>
        <v/>
      </c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6">
        <f>IF(C1198="착유장",기준값!$B$3,IF(C1198="건유·육성우동",기준값!$B$2,""))</f>
        <v/>
      </c>
      <c r="V1198" s="6">
        <f>IF(AND(F1198&lt;&gt;"",F1198&gt;0,U1198&lt;&gt;""),ROUND((U1198-N(K1198))/(F1198/60),0),"")</f>
        <v/>
      </c>
      <c r="W1198" s="6">
        <f>IF(U1198&lt;&gt;"",ROUND(N(K1198)/U1198*100,1),"")</f>
        <v/>
      </c>
    </row>
    <row r="1199">
      <c r="A1199" s="3" t="n"/>
      <c r="B1199" s="4" t="n"/>
      <c r="C1199" s="4" t="n"/>
      <c r="D1199" s="5" t="n"/>
      <c r="E1199" s="5" t="n"/>
      <c r="F1199" s="6">
        <f>IF(AND(D1199&lt;&gt;"",E1199&lt;&gt;""),ROUND((E1199-D1199)*1440,0),"")</f>
        <v/>
      </c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6">
        <f>IF(C1199="착유장",기준값!$B$3,IF(C1199="건유·육성우동",기준값!$B$2,""))</f>
        <v/>
      </c>
      <c r="V1199" s="6">
        <f>IF(AND(F1199&lt;&gt;"",F1199&gt;0,U1199&lt;&gt;""),ROUND((U1199-N(K1199))/(F1199/60),0),"")</f>
        <v/>
      </c>
      <c r="W1199" s="6">
        <f>IF(U1199&lt;&gt;"",ROUND(N(K1199)/U1199*100,1),"")</f>
        <v/>
      </c>
    </row>
    <row r="1200">
      <c r="A1200" s="3" t="n"/>
      <c r="B1200" s="4" t="n"/>
      <c r="C1200" s="4" t="n"/>
      <c r="D1200" s="5" t="n"/>
      <c r="E1200" s="5" t="n"/>
      <c r="F1200" s="6">
        <f>IF(AND(D1200&lt;&gt;"",E1200&lt;&gt;""),ROUND((E1200-D1200)*1440,0),"")</f>
        <v/>
      </c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6">
        <f>IF(C1200="착유장",기준값!$B$3,IF(C1200="건유·육성우동",기준값!$B$2,""))</f>
        <v/>
      </c>
      <c r="V1200" s="6">
        <f>IF(AND(F1200&lt;&gt;"",F1200&gt;0,U1200&lt;&gt;""),ROUND((U1200-N(K1200))/(F1200/60),0),"")</f>
        <v/>
      </c>
      <c r="W1200" s="6">
        <f>IF(U1200&lt;&gt;"",ROUND(N(K1200)/U1200*100,1),"")</f>
        <v/>
      </c>
    </row>
    <row r="1201">
      <c r="A1201" s="3" t="n"/>
      <c r="B1201" s="4" t="n"/>
      <c r="C1201" s="4" t="n"/>
      <c r="D1201" s="5" t="n"/>
      <c r="E1201" s="5" t="n"/>
      <c r="F1201" s="6">
        <f>IF(AND(D1201&lt;&gt;"",E1201&lt;&gt;""),ROUND((E1201-D1201)*1440,0),"")</f>
        <v/>
      </c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6">
        <f>IF(C1201="착유장",기준값!$B$3,IF(C1201="건유·육성우동",기준값!$B$2,""))</f>
        <v/>
      </c>
      <c r="V1201" s="6">
        <f>IF(AND(F1201&lt;&gt;"",F1201&gt;0,U1201&lt;&gt;""),ROUND((U1201-N(K1201))/(F1201/60),0),"")</f>
        <v/>
      </c>
      <c r="W1201" s="6">
        <f>IF(U1201&lt;&gt;"",ROUND(N(K1201)/U1201*100,1),"")</f>
        <v/>
      </c>
    </row>
  </sheetData>
  <dataValidations count="5">
    <dataValidation sqref="B2:B1201" showDropDown="0" showInputMessage="0" showErrorMessage="0" allowBlank="1" type="list">
      <formula1>"아침,저녁"</formula1>
    </dataValidation>
    <dataValidation sqref="C2:C1201" showDropDown="0" showInputMessage="0" showErrorMessage="0" allowBlank="1" type="list">
      <formula1>"건유·육성우동,착유장"</formula1>
    </dataValidation>
    <dataValidation sqref="H2:H1201" showDropDown="0" showInputMessage="0" showErrorMessage="0" allowBlank="1" type="list">
      <formula1>"Y,N"</formula1>
    </dataValidation>
    <dataValidation sqref="S2:S1201" showDropDown="0" showInputMessage="0" showErrorMessage="0" allowBlank="1" type="list">
      <formula1>"Y,N"</formula1>
    </dataValidation>
    <dataValidation sqref="L2:M120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11" customWidth="1" min="8" max="8"/>
    <col width="7" customWidth="1" min="9" max="9"/>
    <col width="7" customWidth="1" min="10" max="10"/>
    <col width="7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0" customWidth="1" min="17" max="17"/>
    <col width="10" customWidth="1" min="18" max="18"/>
    <col width="10" customWidth="1" min="19" max="19"/>
    <col width="20" customWidth="1" min="20" max="20"/>
  </cols>
  <sheetData>
    <row r="1">
      <c r="A1" s="1" t="inlineStr">
        <is>
          <t>측정일</t>
        </is>
      </c>
      <c r="B1" s="1" t="inlineStr">
        <is>
          <t>동</t>
        </is>
      </c>
      <c r="C1" s="1" t="inlineStr">
        <is>
          <t>두께1</t>
        </is>
      </c>
      <c r="D1" s="1" t="inlineStr">
        <is>
          <t>두께2</t>
        </is>
      </c>
      <c r="E1" s="1" t="inlineStr">
        <is>
          <t>두께3</t>
        </is>
      </c>
      <c r="F1" s="1" t="inlineStr">
        <is>
          <t>두께4</t>
        </is>
      </c>
      <c r="G1" s="1" t="inlineStr">
        <is>
          <t>두께5</t>
        </is>
      </c>
      <c r="H1" s="1" t="inlineStr">
        <is>
          <t>두께평균(cm)</t>
        </is>
      </c>
      <c r="I1" s="1" t="inlineStr">
        <is>
          <t>깊이1</t>
        </is>
      </c>
      <c r="J1" s="1" t="inlineStr">
        <is>
          <t>깊이2</t>
        </is>
      </c>
      <c r="K1" s="1" t="inlineStr">
        <is>
          <t>깊이3</t>
        </is>
      </c>
      <c r="L1" s="1" t="inlineStr">
        <is>
          <t>깊이평균(cm)</t>
        </is>
      </c>
      <c r="M1" s="1" t="inlineStr">
        <is>
          <t>깊이오차(mm)</t>
        </is>
      </c>
      <c r="N1" s="1" t="inlineStr">
        <is>
          <t>표층온도평균(℃)</t>
        </is>
      </c>
      <c r="O1" s="1" t="inlineStr">
        <is>
          <t>20cm온도평균(℃)</t>
        </is>
      </c>
      <c r="P1" s="1" t="inlineStr">
        <is>
          <t>수분등급평균</t>
        </is>
      </c>
      <c r="Q1" s="1" t="inlineStr">
        <is>
          <t>수분계(%)</t>
        </is>
      </c>
      <c r="R1" s="1" t="inlineStr">
        <is>
          <t>NH3 전(ppm)</t>
        </is>
      </c>
      <c r="S1" s="1" t="inlineStr">
        <is>
          <t>NH3 후(ppm)</t>
        </is>
      </c>
      <c r="T1" s="1" t="inlineStr">
        <is>
          <t>비고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6">
        <f>IF(COUNT(C2:G2)&gt;0,ROUND(AVERAGE(C2:G2),1),"")</f>
        <v/>
      </c>
      <c r="I2" s="4" t="n"/>
      <c r="J2" s="4" t="n"/>
      <c r="K2" s="4" t="n"/>
      <c r="L2" s="6">
        <f>IF(COUNT(I2:K2)&gt;0,ROUND(AVERAGE(I2:K2),1),"")</f>
        <v/>
      </c>
      <c r="M2" s="6">
        <f>IF(AND(L2&lt;&gt;"",기준값!$B$9&lt;&gt;""),ROUND((L2-기준값!$B$9)*10,0),"")</f>
        <v/>
      </c>
      <c r="N2" s="4" t="n"/>
      <c r="O2" s="4" t="n"/>
      <c r="P2" s="4" t="n"/>
      <c r="Q2" s="4" t="n"/>
      <c r="R2" s="4" t="n"/>
      <c r="S2" s="4" t="n"/>
      <c r="T2" s="4" t="n"/>
    </row>
    <row r="3">
      <c r="A3" s="3" t="n"/>
      <c r="B3" s="4" t="n"/>
      <c r="C3" s="4" t="n"/>
      <c r="D3" s="4" t="n"/>
      <c r="E3" s="4" t="n"/>
      <c r="F3" s="4" t="n"/>
      <c r="G3" s="4" t="n"/>
      <c r="H3" s="6">
        <f>IF(COUNT(C3:G3)&gt;0,ROUND(AVERAGE(C3:G3),1),"")</f>
        <v/>
      </c>
      <c r="I3" s="4" t="n"/>
      <c r="J3" s="4" t="n"/>
      <c r="K3" s="4" t="n"/>
      <c r="L3" s="6">
        <f>IF(COUNT(I3:K3)&gt;0,ROUND(AVERAGE(I3:K3),1),"")</f>
        <v/>
      </c>
      <c r="M3" s="6">
        <f>IF(AND(L3&lt;&gt;"",기준값!$B$9&lt;&gt;""),ROUND((L3-기준값!$B$9)*10,0),"")</f>
        <v/>
      </c>
      <c r="N3" s="4" t="n"/>
      <c r="O3" s="4" t="n"/>
      <c r="P3" s="4" t="n"/>
      <c r="Q3" s="4" t="n"/>
      <c r="R3" s="4" t="n"/>
      <c r="S3" s="4" t="n"/>
      <c r="T3" s="4" t="n"/>
    </row>
    <row r="4">
      <c r="A4" s="3" t="n"/>
      <c r="B4" s="4" t="n"/>
      <c r="C4" s="4" t="n"/>
      <c r="D4" s="4" t="n"/>
      <c r="E4" s="4" t="n"/>
      <c r="F4" s="4" t="n"/>
      <c r="G4" s="4" t="n"/>
      <c r="H4" s="6">
        <f>IF(COUNT(C4:G4)&gt;0,ROUND(AVERAGE(C4:G4),1),"")</f>
        <v/>
      </c>
      <c r="I4" s="4" t="n"/>
      <c r="J4" s="4" t="n"/>
      <c r="K4" s="4" t="n"/>
      <c r="L4" s="6">
        <f>IF(COUNT(I4:K4)&gt;0,ROUND(AVERAGE(I4:K4),1),"")</f>
        <v/>
      </c>
      <c r="M4" s="6">
        <f>IF(AND(L4&lt;&gt;"",기준값!$B$9&lt;&gt;""),ROUND((L4-기준값!$B$9)*10,0),"")</f>
        <v/>
      </c>
      <c r="N4" s="4" t="n"/>
      <c r="O4" s="4" t="n"/>
      <c r="P4" s="4" t="n"/>
      <c r="Q4" s="4" t="n"/>
      <c r="R4" s="4" t="n"/>
      <c r="S4" s="4" t="n"/>
      <c r="T4" s="4" t="n"/>
    </row>
    <row r="5">
      <c r="A5" s="3" t="n"/>
      <c r="B5" s="4" t="n"/>
      <c r="C5" s="4" t="n"/>
      <c r="D5" s="4" t="n"/>
      <c r="E5" s="4" t="n"/>
      <c r="F5" s="4" t="n"/>
      <c r="G5" s="4" t="n"/>
      <c r="H5" s="6">
        <f>IF(COUNT(C5:G5)&gt;0,ROUND(AVERAGE(C5:G5),1),"")</f>
        <v/>
      </c>
      <c r="I5" s="4" t="n"/>
      <c r="J5" s="4" t="n"/>
      <c r="K5" s="4" t="n"/>
      <c r="L5" s="6">
        <f>IF(COUNT(I5:K5)&gt;0,ROUND(AVERAGE(I5:K5),1),"")</f>
        <v/>
      </c>
      <c r="M5" s="6">
        <f>IF(AND(L5&lt;&gt;"",기준값!$B$9&lt;&gt;""),ROUND((L5-기준값!$B$9)*10,0),"")</f>
        <v/>
      </c>
      <c r="N5" s="4" t="n"/>
      <c r="O5" s="4" t="n"/>
      <c r="P5" s="4" t="n"/>
      <c r="Q5" s="4" t="n"/>
      <c r="R5" s="4" t="n"/>
      <c r="S5" s="4" t="n"/>
      <c r="T5" s="4" t="n"/>
    </row>
    <row r="6">
      <c r="A6" s="3" t="n"/>
      <c r="B6" s="4" t="n"/>
      <c r="C6" s="4" t="n"/>
      <c r="D6" s="4" t="n"/>
      <c r="E6" s="4" t="n"/>
      <c r="F6" s="4" t="n"/>
      <c r="G6" s="4" t="n"/>
      <c r="H6" s="6">
        <f>IF(COUNT(C6:G6)&gt;0,ROUND(AVERAGE(C6:G6),1),"")</f>
        <v/>
      </c>
      <c r="I6" s="4" t="n"/>
      <c r="J6" s="4" t="n"/>
      <c r="K6" s="4" t="n"/>
      <c r="L6" s="6">
        <f>IF(COUNT(I6:K6)&gt;0,ROUND(AVERAGE(I6:K6),1),"")</f>
        <v/>
      </c>
      <c r="M6" s="6">
        <f>IF(AND(L6&lt;&gt;"",기준값!$B$9&lt;&gt;""),ROUND((L6-기준값!$B$9)*10,0),"")</f>
        <v/>
      </c>
      <c r="N6" s="4" t="n"/>
      <c r="O6" s="4" t="n"/>
      <c r="P6" s="4" t="n"/>
      <c r="Q6" s="4" t="n"/>
      <c r="R6" s="4" t="n"/>
      <c r="S6" s="4" t="n"/>
      <c r="T6" s="4" t="n"/>
    </row>
    <row r="7">
      <c r="A7" s="3" t="n"/>
      <c r="B7" s="4" t="n"/>
      <c r="C7" s="4" t="n"/>
      <c r="D7" s="4" t="n"/>
      <c r="E7" s="4" t="n"/>
      <c r="F7" s="4" t="n"/>
      <c r="G7" s="4" t="n"/>
      <c r="H7" s="6">
        <f>IF(COUNT(C7:G7)&gt;0,ROUND(AVERAGE(C7:G7),1),"")</f>
        <v/>
      </c>
      <c r="I7" s="4" t="n"/>
      <c r="J7" s="4" t="n"/>
      <c r="K7" s="4" t="n"/>
      <c r="L7" s="6">
        <f>IF(COUNT(I7:K7)&gt;0,ROUND(AVERAGE(I7:K7),1),"")</f>
        <v/>
      </c>
      <c r="M7" s="6">
        <f>IF(AND(L7&lt;&gt;"",기준값!$B$9&lt;&gt;""),ROUND((L7-기준값!$B$9)*10,0),"")</f>
        <v/>
      </c>
      <c r="N7" s="4" t="n"/>
      <c r="O7" s="4" t="n"/>
      <c r="P7" s="4" t="n"/>
      <c r="Q7" s="4" t="n"/>
      <c r="R7" s="4" t="n"/>
      <c r="S7" s="4" t="n"/>
      <c r="T7" s="4" t="n"/>
    </row>
    <row r="8">
      <c r="A8" s="3" t="n"/>
      <c r="B8" s="4" t="n"/>
      <c r="C8" s="4" t="n"/>
      <c r="D8" s="4" t="n"/>
      <c r="E8" s="4" t="n"/>
      <c r="F8" s="4" t="n"/>
      <c r="G8" s="4" t="n"/>
      <c r="H8" s="6">
        <f>IF(COUNT(C8:G8)&gt;0,ROUND(AVERAGE(C8:G8),1),"")</f>
        <v/>
      </c>
      <c r="I8" s="4" t="n"/>
      <c r="J8" s="4" t="n"/>
      <c r="K8" s="4" t="n"/>
      <c r="L8" s="6">
        <f>IF(COUNT(I8:K8)&gt;0,ROUND(AVERAGE(I8:K8),1),"")</f>
        <v/>
      </c>
      <c r="M8" s="6">
        <f>IF(AND(L8&lt;&gt;"",기준값!$B$9&lt;&gt;""),ROUND((L8-기준값!$B$9)*10,0),"")</f>
        <v/>
      </c>
      <c r="N8" s="4" t="n"/>
      <c r="O8" s="4" t="n"/>
      <c r="P8" s="4" t="n"/>
      <c r="Q8" s="4" t="n"/>
      <c r="R8" s="4" t="n"/>
      <c r="S8" s="4" t="n"/>
      <c r="T8" s="4" t="n"/>
    </row>
    <row r="9">
      <c r="A9" s="3" t="n"/>
      <c r="B9" s="4" t="n"/>
      <c r="C9" s="4" t="n"/>
      <c r="D9" s="4" t="n"/>
      <c r="E9" s="4" t="n"/>
      <c r="F9" s="4" t="n"/>
      <c r="G9" s="4" t="n"/>
      <c r="H9" s="6">
        <f>IF(COUNT(C9:G9)&gt;0,ROUND(AVERAGE(C9:G9),1),"")</f>
        <v/>
      </c>
      <c r="I9" s="4" t="n"/>
      <c r="J9" s="4" t="n"/>
      <c r="K9" s="4" t="n"/>
      <c r="L9" s="6">
        <f>IF(COUNT(I9:K9)&gt;0,ROUND(AVERAGE(I9:K9),1),"")</f>
        <v/>
      </c>
      <c r="M9" s="6">
        <f>IF(AND(L9&lt;&gt;"",기준값!$B$9&lt;&gt;""),ROUND((L9-기준값!$B$9)*10,0),"")</f>
        <v/>
      </c>
      <c r="N9" s="4" t="n"/>
      <c r="O9" s="4" t="n"/>
      <c r="P9" s="4" t="n"/>
      <c r="Q9" s="4" t="n"/>
      <c r="R9" s="4" t="n"/>
      <c r="S9" s="4" t="n"/>
      <c r="T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6">
        <f>IF(COUNT(C10:G10)&gt;0,ROUND(AVERAGE(C10:G10),1),"")</f>
        <v/>
      </c>
      <c r="I10" s="4" t="n"/>
      <c r="J10" s="4" t="n"/>
      <c r="K10" s="4" t="n"/>
      <c r="L10" s="6">
        <f>IF(COUNT(I10:K10)&gt;0,ROUND(AVERAGE(I10:K10),1),"")</f>
        <v/>
      </c>
      <c r="M10" s="6">
        <f>IF(AND(L10&lt;&gt;"",기준값!$B$9&lt;&gt;""),ROUND((L10-기준값!$B$9)*10,0),"")</f>
        <v/>
      </c>
      <c r="N10" s="4" t="n"/>
      <c r="O10" s="4" t="n"/>
      <c r="P10" s="4" t="n"/>
      <c r="Q10" s="4" t="n"/>
      <c r="R10" s="4" t="n"/>
      <c r="S10" s="4" t="n"/>
      <c r="T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6">
        <f>IF(COUNT(C11:G11)&gt;0,ROUND(AVERAGE(C11:G11),1),"")</f>
        <v/>
      </c>
      <c r="I11" s="4" t="n"/>
      <c r="J11" s="4" t="n"/>
      <c r="K11" s="4" t="n"/>
      <c r="L11" s="6">
        <f>IF(COUNT(I11:K11)&gt;0,ROUND(AVERAGE(I11:K11),1),"")</f>
        <v/>
      </c>
      <c r="M11" s="6">
        <f>IF(AND(L11&lt;&gt;"",기준값!$B$9&lt;&gt;""),ROUND((L11-기준값!$B$9)*10,0),"")</f>
        <v/>
      </c>
      <c r="N11" s="4" t="n"/>
      <c r="O11" s="4" t="n"/>
      <c r="P11" s="4" t="n"/>
      <c r="Q11" s="4" t="n"/>
      <c r="R11" s="4" t="n"/>
      <c r="S11" s="4" t="n"/>
      <c r="T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6">
        <f>IF(COUNT(C12:G12)&gt;0,ROUND(AVERAGE(C12:G12),1),"")</f>
        <v/>
      </c>
      <c r="I12" s="4" t="n"/>
      <c r="J12" s="4" t="n"/>
      <c r="K12" s="4" t="n"/>
      <c r="L12" s="6">
        <f>IF(COUNT(I12:K12)&gt;0,ROUND(AVERAGE(I12:K12),1),"")</f>
        <v/>
      </c>
      <c r="M12" s="6">
        <f>IF(AND(L12&lt;&gt;"",기준값!$B$9&lt;&gt;""),ROUND((L12-기준값!$B$9)*10,0),"")</f>
        <v/>
      </c>
      <c r="N12" s="4" t="n"/>
      <c r="O12" s="4" t="n"/>
      <c r="P12" s="4" t="n"/>
      <c r="Q12" s="4" t="n"/>
      <c r="R12" s="4" t="n"/>
      <c r="S12" s="4" t="n"/>
      <c r="T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6">
        <f>IF(COUNT(C13:G13)&gt;0,ROUND(AVERAGE(C13:G13),1),"")</f>
        <v/>
      </c>
      <c r="I13" s="4" t="n"/>
      <c r="J13" s="4" t="n"/>
      <c r="K13" s="4" t="n"/>
      <c r="L13" s="6">
        <f>IF(COUNT(I13:K13)&gt;0,ROUND(AVERAGE(I13:K13),1),"")</f>
        <v/>
      </c>
      <c r="M13" s="6">
        <f>IF(AND(L13&lt;&gt;"",기준값!$B$9&lt;&gt;""),ROUND((L13-기준값!$B$9)*10,0),"")</f>
        <v/>
      </c>
      <c r="N13" s="4" t="n"/>
      <c r="O13" s="4" t="n"/>
      <c r="P13" s="4" t="n"/>
      <c r="Q13" s="4" t="n"/>
      <c r="R13" s="4" t="n"/>
      <c r="S13" s="4" t="n"/>
      <c r="T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6">
        <f>IF(COUNT(C14:G14)&gt;0,ROUND(AVERAGE(C14:G14),1),"")</f>
        <v/>
      </c>
      <c r="I14" s="4" t="n"/>
      <c r="J14" s="4" t="n"/>
      <c r="K14" s="4" t="n"/>
      <c r="L14" s="6">
        <f>IF(COUNT(I14:K14)&gt;0,ROUND(AVERAGE(I14:K14),1),"")</f>
        <v/>
      </c>
      <c r="M14" s="6">
        <f>IF(AND(L14&lt;&gt;"",기준값!$B$9&lt;&gt;""),ROUND((L14-기준값!$B$9)*10,0),"")</f>
        <v/>
      </c>
      <c r="N14" s="4" t="n"/>
      <c r="O14" s="4" t="n"/>
      <c r="P14" s="4" t="n"/>
      <c r="Q14" s="4" t="n"/>
      <c r="R14" s="4" t="n"/>
      <c r="S14" s="4" t="n"/>
      <c r="T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6">
        <f>IF(COUNT(C15:G15)&gt;0,ROUND(AVERAGE(C15:G15),1),"")</f>
        <v/>
      </c>
      <c r="I15" s="4" t="n"/>
      <c r="J15" s="4" t="n"/>
      <c r="K15" s="4" t="n"/>
      <c r="L15" s="6">
        <f>IF(COUNT(I15:K15)&gt;0,ROUND(AVERAGE(I15:K15),1),"")</f>
        <v/>
      </c>
      <c r="M15" s="6">
        <f>IF(AND(L15&lt;&gt;"",기준값!$B$9&lt;&gt;""),ROUND((L15-기준값!$B$9)*10,0),"")</f>
        <v/>
      </c>
      <c r="N15" s="4" t="n"/>
      <c r="O15" s="4" t="n"/>
      <c r="P15" s="4" t="n"/>
      <c r="Q15" s="4" t="n"/>
      <c r="R15" s="4" t="n"/>
      <c r="S15" s="4" t="n"/>
      <c r="T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6">
        <f>IF(COUNT(C16:G16)&gt;0,ROUND(AVERAGE(C16:G16),1),"")</f>
        <v/>
      </c>
      <c r="I16" s="4" t="n"/>
      <c r="J16" s="4" t="n"/>
      <c r="K16" s="4" t="n"/>
      <c r="L16" s="6">
        <f>IF(COUNT(I16:K16)&gt;0,ROUND(AVERAGE(I16:K16),1),"")</f>
        <v/>
      </c>
      <c r="M16" s="6">
        <f>IF(AND(L16&lt;&gt;"",기준값!$B$9&lt;&gt;""),ROUND((L16-기준값!$B$9)*10,0),"")</f>
        <v/>
      </c>
      <c r="N16" s="4" t="n"/>
      <c r="O16" s="4" t="n"/>
      <c r="P16" s="4" t="n"/>
      <c r="Q16" s="4" t="n"/>
      <c r="R16" s="4" t="n"/>
      <c r="S16" s="4" t="n"/>
      <c r="T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6">
        <f>IF(COUNT(C17:G17)&gt;0,ROUND(AVERAGE(C17:G17),1),"")</f>
        <v/>
      </c>
      <c r="I17" s="4" t="n"/>
      <c r="J17" s="4" t="n"/>
      <c r="K17" s="4" t="n"/>
      <c r="L17" s="6">
        <f>IF(COUNT(I17:K17)&gt;0,ROUND(AVERAGE(I17:K17),1),"")</f>
        <v/>
      </c>
      <c r="M17" s="6">
        <f>IF(AND(L17&lt;&gt;"",기준값!$B$9&lt;&gt;""),ROUND((L17-기준값!$B$9)*10,0),"")</f>
        <v/>
      </c>
      <c r="N17" s="4" t="n"/>
      <c r="O17" s="4" t="n"/>
      <c r="P17" s="4" t="n"/>
      <c r="Q17" s="4" t="n"/>
      <c r="R17" s="4" t="n"/>
      <c r="S17" s="4" t="n"/>
      <c r="T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6">
        <f>IF(COUNT(C18:G18)&gt;0,ROUND(AVERAGE(C18:G18),1),"")</f>
        <v/>
      </c>
      <c r="I18" s="4" t="n"/>
      <c r="J18" s="4" t="n"/>
      <c r="K18" s="4" t="n"/>
      <c r="L18" s="6">
        <f>IF(COUNT(I18:K18)&gt;0,ROUND(AVERAGE(I18:K18),1),"")</f>
        <v/>
      </c>
      <c r="M18" s="6">
        <f>IF(AND(L18&lt;&gt;"",기준값!$B$9&lt;&gt;""),ROUND((L18-기준값!$B$9)*10,0),"")</f>
        <v/>
      </c>
      <c r="N18" s="4" t="n"/>
      <c r="O18" s="4" t="n"/>
      <c r="P18" s="4" t="n"/>
      <c r="Q18" s="4" t="n"/>
      <c r="R18" s="4" t="n"/>
      <c r="S18" s="4" t="n"/>
      <c r="T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6">
        <f>IF(COUNT(C19:G19)&gt;0,ROUND(AVERAGE(C19:G19),1),"")</f>
        <v/>
      </c>
      <c r="I19" s="4" t="n"/>
      <c r="J19" s="4" t="n"/>
      <c r="K19" s="4" t="n"/>
      <c r="L19" s="6">
        <f>IF(COUNT(I19:K19)&gt;0,ROUND(AVERAGE(I19:K19),1),"")</f>
        <v/>
      </c>
      <c r="M19" s="6">
        <f>IF(AND(L19&lt;&gt;"",기준값!$B$9&lt;&gt;""),ROUND((L19-기준값!$B$9)*10,0),"")</f>
        <v/>
      </c>
      <c r="N19" s="4" t="n"/>
      <c r="O19" s="4" t="n"/>
      <c r="P19" s="4" t="n"/>
      <c r="Q19" s="4" t="n"/>
      <c r="R19" s="4" t="n"/>
      <c r="S19" s="4" t="n"/>
      <c r="T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6">
        <f>IF(COUNT(C20:G20)&gt;0,ROUND(AVERAGE(C20:G20),1),"")</f>
        <v/>
      </c>
      <c r="I20" s="4" t="n"/>
      <c r="J20" s="4" t="n"/>
      <c r="K20" s="4" t="n"/>
      <c r="L20" s="6">
        <f>IF(COUNT(I20:K20)&gt;0,ROUND(AVERAGE(I20:K20),1),"")</f>
        <v/>
      </c>
      <c r="M20" s="6">
        <f>IF(AND(L20&lt;&gt;"",기준값!$B$9&lt;&gt;""),ROUND((L20-기준값!$B$9)*10,0),"")</f>
        <v/>
      </c>
      <c r="N20" s="4" t="n"/>
      <c r="O20" s="4" t="n"/>
      <c r="P20" s="4" t="n"/>
      <c r="Q20" s="4" t="n"/>
      <c r="R20" s="4" t="n"/>
      <c r="S20" s="4" t="n"/>
      <c r="T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6">
        <f>IF(COUNT(C21:G21)&gt;0,ROUND(AVERAGE(C21:G21),1),"")</f>
        <v/>
      </c>
      <c r="I21" s="4" t="n"/>
      <c r="J21" s="4" t="n"/>
      <c r="K21" s="4" t="n"/>
      <c r="L21" s="6">
        <f>IF(COUNT(I21:K21)&gt;0,ROUND(AVERAGE(I21:K21),1),"")</f>
        <v/>
      </c>
      <c r="M21" s="6">
        <f>IF(AND(L21&lt;&gt;"",기준값!$B$9&lt;&gt;""),ROUND((L21-기준값!$B$9)*10,0),"")</f>
        <v/>
      </c>
      <c r="N21" s="4" t="n"/>
      <c r="O21" s="4" t="n"/>
      <c r="P21" s="4" t="n"/>
      <c r="Q21" s="4" t="n"/>
      <c r="R21" s="4" t="n"/>
      <c r="S21" s="4" t="n"/>
      <c r="T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6">
        <f>IF(COUNT(C22:G22)&gt;0,ROUND(AVERAGE(C22:G22),1),"")</f>
        <v/>
      </c>
      <c r="I22" s="4" t="n"/>
      <c r="J22" s="4" t="n"/>
      <c r="K22" s="4" t="n"/>
      <c r="L22" s="6">
        <f>IF(COUNT(I22:K22)&gt;0,ROUND(AVERAGE(I22:K22),1),"")</f>
        <v/>
      </c>
      <c r="M22" s="6">
        <f>IF(AND(L22&lt;&gt;"",기준값!$B$9&lt;&gt;""),ROUND((L22-기준값!$B$9)*10,0),"")</f>
        <v/>
      </c>
      <c r="N22" s="4" t="n"/>
      <c r="O22" s="4" t="n"/>
      <c r="P22" s="4" t="n"/>
      <c r="Q22" s="4" t="n"/>
      <c r="R22" s="4" t="n"/>
      <c r="S22" s="4" t="n"/>
      <c r="T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6">
        <f>IF(COUNT(C23:G23)&gt;0,ROUND(AVERAGE(C23:G23),1),"")</f>
        <v/>
      </c>
      <c r="I23" s="4" t="n"/>
      <c r="J23" s="4" t="n"/>
      <c r="K23" s="4" t="n"/>
      <c r="L23" s="6">
        <f>IF(COUNT(I23:K23)&gt;0,ROUND(AVERAGE(I23:K23),1),"")</f>
        <v/>
      </c>
      <c r="M23" s="6">
        <f>IF(AND(L23&lt;&gt;"",기준값!$B$9&lt;&gt;""),ROUND((L23-기준값!$B$9)*10,0),"")</f>
        <v/>
      </c>
      <c r="N23" s="4" t="n"/>
      <c r="O23" s="4" t="n"/>
      <c r="P23" s="4" t="n"/>
      <c r="Q23" s="4" t="n"/>
      <c r="R23" s="4" t="n"/>
      <c r="S23" s="4" t="n"/>
      <c r="T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6">
        <f>IF(COUNT(C24:G24)&gt;0,ROUND(AVERAGE(C24:G24),1),"")</f>
        <v/>
      </c>
      <c r="I24" s="4" t="n"/>
      <c r="J24" s="4" t="n"/>
      <c r="K24" s="4" t="n"/>
      <c r="L24" s="6">
        <f>IF(COUNT(I24:K24)&gt;0,ROUND(AVERAGE(I24:K24),1),"")</f>
        <v/>
      </c>
      <c r="M24" s="6">
        <f>IF(AND(L24&lt;&gt;"",기준값!$B$9&lt;&gt;""),ROUND((L24-기준값!$B$9)*10,0),"")</f>
        <v/>
      </c>
      <c r="N24" s="4" t="n"/>
      <c r="O24" s="4" t="n"/>
      <c r="P24" s="4" t="n"/>
      <c r="Q24" s="4" t="n"/>
      <c r="R24" s="4" t="n"/>
      <c r="S24" s="4" t="n"/>
      <c r="T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6">
        <f>IF(COUNT(C25:G25)&gt;0,ROUND(AVERAGE(C25:G25),1),"")</f>
        <v/>
      </c>
      <c r="I25" s="4" t="n"/>
      <c r="J25" s="4" t="n"/>
      <c r="K25" s="4" t="n"/>
      <c r="L25" s="6">
        <f>IF(COUNT(I25:K25)&gt;0,ROUND(AVERAGE(I25:K25),1),"")</f>
        <v/>
      </c>
      <c r="M25" s="6">
        <f>IF(AND(L25&lt;&gt;"",기준값!$B$9&lt;&gt;""),ROUND((L25-기준값!$B$9)*10,0),"")</f>
        <v/>
      </c>
      <c r="N25" s="4" t="n"/>
      <c r="O25" s="4" t="n"/>
      <c r="P25" s="4" t="n"/>
      <c r="Q25" s="4" t="n"/>
      <c r="R25" s="4" t="n"/>
      <c r="S25" s="4" t="n"/>
      <c r="T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6">
        <f>IF(COUNT(C26:G26)&gt;0,ROUND(AVERAGE(C26:G26),1),"")</f>
        <v/>
      </c>
      <c r="I26" s="4" t="n"/>
      <c r="J26" s="4" t="n"/>
      <c r="K26" s="4" t="n"/>
      <c r="L26" s="6">
        <f>IF(COUNT(I26:K26)&gt;0,ROUND(AVERAGE(I26:K26),1),"")</f>
        <v/>
      </c>
      <c r="M26" s="6">
        <f>IF(AND(L26&lt;&gt;"",기준값!$B$9&lt;&gt;""),ROUND((L26-기준값!$B$9)*10,0),"")</f>
        <v/>
      </c>
      <c r="N26" s="4" t="n"/>
      <c r="O26" s="4" t="n"/>
      <c r="P26" s="4" t="n"/>
      <c r="Q26" s="4" t="n"/>
      <c r="R26" s="4" t="n"/>
      <c r="S26" s="4" t="n"/>
      <c r="T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6">
        <f>IF(COUNT(C27:G27)&gt;0,ROUND(AVERAGE(C27:G27),1),"")</f>
        <v/>
      </c>
      <c r="I27" s="4" t="n"/>
      <c r="J27" s="4" t="n"/>
      <c r="K27" s="4" t="n"/>
      <c r="L27" s="6">
        <f>IF(COUNT(I27:K27)&gt;0,ROUND(AVERAGE(I27:K27),1),"")</f>
        <v/>
      </c>
      <c r="M27" s="6">
        <f>IF(AND(L27&lt;&gt;"",기준값!$B$9&lt;&gt;""),ROUND((L27-기준값!$B$9)*10,0),"")</f>
        <v/>
      </c>
      <c r="N27" s="4" t="n"/>
      <c r="O27" s="4" t="n"/>
      <c r="P27" s="4" t="n"/>
      <c r="Q27" s="4" t="n"/>
      <c r="R27" s="4" t="n"/>
      <c r="S27" s="4" t="n"/>
      <c r="T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6">
        <f>IF(COUNT(C28:G28)&gt;0,ROUND(AVERAGE(C28:G28),1),"")</f>
        <v/>
      </c>
      <c r="I28" s="4" t="n"/>
      <c r="J28" s="4" t="n"/>
      <c r="K28" s="4" t="n"/>
      <c r="L28" s="6">
        <f>IF(COUNT(I28:K28)&gt;0,ROUND(AVERAGE(I28:K28),1),"")</f>
        <v/>
      </c>
      <c r="M28" s="6">
        <f>IF(AND(L28&lt;&gt;"",기준값!$B$9&lt;&gt;""),ROUND((L28-기준값!$B$9)*10,0),"")</f>
        <v/>
      </c>
      <c r="N28" s="4" t="n"/>
      <c r="O28" s="4" t="n"/>
      <c r="P28" s="4" t="n"/>
      <c r="Q28" s="4" t="n"/>
      <c r="R28" s="4" t="n"/>
      <c r="S28" s="4" t="n"/>
      <c r="T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6">
        <f>IF(COUNT(C29:G29)&gt;0,ROUND(AVERAGE(C29:G29),1),"")</f>
        <v/>
      </c>
      <c r="I29" s="4" t="n"/>
      <c r="J29" s="4" t="n"/>
      <c r="K29" s="4" t="n"/>
      <c r="L29" s="6">
        <f>IF(COUNT(I29:K29)&gt;0,ROUND(AVERAGE(I29:K29),1),"")</f>
        <v/>
      </c>
      <c r="M29" s="6">
        <f>IF(AND(L29&lt;&gt;"",기준값!$B$9&lt;&gt;""),ROUND((L29-기준값!$B$9)*10,0),"")</f>
        <v/>
      </c>
      <c r="N29" s="4" t="n"/>
      <c r="O29" s="4" t="n"/>
      <c r="P29" s="4" t="n"/>
      <c r="Q29" s="4" t="n"/>
      <c r="R29" s="4" t="n"/>
      <c r="S29" s="4" t="n"/>
      <c r="T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6">
        <f>IF(COUNT(C30:G30)&gt;0,ROUND(AVERAGE(C30:G30),1),"")</f>
        <v/>
      </c>
      <c r="I30" s="4" t="n"/>
      <c r="J30" s="4" t="n"/>
      <c r="K30" s="4" t="n"/>
      <c r="L30" s="6">
        <f>IF(COUNT(I30:K30)&gt;0,ROUND(AVERAGE(I30:K30),1),"")</f>
        <v/>
      </c>
      <c r="M30" s="6">
        <f>IF(AND(L30&lt;&gt;"",기준값!$B$9&lt;&gt;""),ROUND((L30-기준값!$B$9)*10,0),"")</f>
        <v/>
      </c>
      <c r="N30" s="4" t="n"/>
      <c r="O30" s="4" t="n"/>
      <c r="P30" s="4" t="n"/>
      <c r="Q30" s="4" t="n"/>
      <c r="R30" s="4" t="n"/>
      <c r="S30" s="4" t="n"/>
      <c r="T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6">
        <f>IF(COUNT(C31:G31)&gt;0,ROUND(AVERAGE(C31:G31),1),"")</f>
        <v/>
      </c>
      <c r="I31" s="4" t="n"/>
      <c r="J31" s="4" t="n"/>
      <c r="K31" s="4" t="n"/>
      <c r="L31" s="6">
        <f>IF(COUNT(I31:K31)&gt;0,ROUND(AVERAGE(I31:K31),1),"")</f>
        <v/>
      </c>
      <c r="M31" s="6">
        <f>IF(AND(L31&lt;&gt;"",기준값!$B$9&lt;&gt;""),ROUND((L31-기준값!$B$9)*10,0),"")</f>
        <v/>
      </c>
      <c r="N31" s="4" t="n"/>
      <c r="O31" s="4" t="n"/>
      <c r="P31" s="4" t="n"/>
      <c r="Q31" s="4" t="n"/>
      <c r="R31" s="4" t="n"/>
      <c r="S31" s="4" t="n"/>
      <c r="T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6">
        <f>IF(COUNT(C32:G32)&gt;0,ROUND(AVERAGE(C32:G32),1),"")</f>
        <v/>
      </c>
      <c r="I32" s="4" t="n"/>
      <c r="J32" s="4" t="n"/>
      <c r="K32" s="4" t="n"/>
      <c r="L32" s="6">
        <f>IF(COUNT(I32:K32)&gt;0,ROUND(AVERAGE(I32:K32),1),"")</f>
        <v/>
      </c>
      <c r="M32" s="6">
        <f>IF(AND(L32&lt;&gt;"",기준값!$B$9&lt;&gt;""),ROUND((L32-기준값!$B$9)*10,0),"")</f>
        <v/>
      </c>
      <c r="N32" s="4" t="n"/>
      <c r="O32" s="4" t="n"/>
      <c r="P32" s="4" t="n"/>
      <c r="Q32" s="4" t="n"/>
      <c r="R32" s="4" t="n"/>
      <c r="S32" s="4" t="n"/>
      <c r="T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6">
        <f>IF(COUNT(C33:G33)&gt;0,ROUND(AVERAGE(C33:G33),1),"")</f>
        <v/>
      </c>
      <c r="I33" s="4" t="n"/>
      <c r="J33" s="4" t="n"/>
      <c r="K33" s="4" t="n"/>
      <c r="L33" s="6">
        <f>IF(COUNT(I33:K33)&gt;0,ROUND(AVERAGE(I33:K33),1),"")</f>
        <v/>
      </c>
      <c r="M33" s="6">
        <f>IF(AND(L33&lt;&gt;"",기준값!$B$9&lt;&gt;""),ROUND((L33-기준값!$B$9)*10,0),"")</f>
        <v/>
      </c>
      <c r="N33" s="4" t="n"/>
      <c r="O33" s="4" t="n"/>
      <c r="P33" s="4" t="n"/>
      <c r="Q33" s="4" t="n"/>
      <c r="R33" s="4" t="n"/>
      <c r="S33" s="4" t="n"/>
      <c r="T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6">
        <f>IF(COUNT(C34:G34)&gt;0,ROUND(AVERAGE(C34:G34),1),"")</f>
        <v/>
      </c>
      <c r="I34" s="4" t="n"/>
      <c r="J34" s="4" t="n"/>
      <c r="K34" s="4" t="n"/>
      <c r="L34" s="6">
        <f>IF(COUNT(I34:K34)&gt;0,ROUND(AVERAGE(I34:K34),1),"")</f>
        <v/>
      </c>
      <c r="M34" s="6">
        <f>IF(AND(L34&lt;&gt;"",기준값!$B$9&lt;&gt;""),ROUND((L34-기준값!$B$9)*10,0),"")</f>
        <v/>
      </c>
      <c r="N34" s="4" t="n"/>
      <c r="O34" s="4" t="n"/>
      <c r="P34" s="4" t="n"/>
      <c r="Q34" s="4" t="n"/>
      <c r="R34" s="4" t="n"/>
      <c r="S34" s="4" t="n"/>
      <c r="T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6">
        <f>IF(COUNT(C35:G35)&gt;0,ROUND(AVERAGE(C35:G35),1),"")</f>
        <v/>
      </c>
      <c r="I35" s="4" t="n"/>
      <c r="J35" s="4" t="n"/>
      <c r="K35" s="4" t="n"/>
      <c r="L35" s="6">
        <f>IF(COUNT(I35:K35)&gt;0,ROUND(AVERAGE(I35:K35),1),"")</f>
        <v/>
      </c>
      <c r="M35" s="6">
        <f>IF(AND(L35&lt;&gt;"",기준값!$B$9&lt;&gt;""),ROUND((L35-기준값!$B$9)*10,0),"")</f>
        <v/>
      </c>
      <c r="N35" s="4" t="n"/>
      <c r="O35" s="4" t="n"/>
      <c r="P35" s="4" t="n"/>
      <c r="Q35" s="4" t="n"/>
      <c r="R35" s="4" t="n"/>
      <c r="S35" s="4" t="n"/>
      <c r="T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6">
        <f>IF(COUNT(C36:G36)&gt;0,ROUND(AVERAGE(C36:G36),1),"")</f>
        <v/>
      </c>
      <c r="I36" s="4" t="n"/>
      <c r="J36" s="4" t="n"/>
      <c r="K36" s="4" t="n"/>
      <c r="L36" s="6">
        <f>IF(COUNT(I36:K36)&gt;0,ROUND(AVERAGE(I36:K36),1),"")</f>
        <v/>
      </c>
      <c r="M36" s="6">
        <f>IF(AND(L36&lt;&gt;"",기준값!$B$9&lt;&gt;""),ROUND((L36-기준값!$B$9)*10,0),"")</f>
        <v/>
      </c>
      <c r="N36" s="4" t="n"/>
      <c r="O36" s="4" t="n"/>
      <c r="P36" s="4" t="n"/>
      <c r="Q36" s="4" t="n"/>
      <c r="R36" s="4" t="n"/>
      <c r="S36" s="4" t="n"/>
      <c r="T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6">
        <f>IF(COUNT(C37:G37)&gt;0,ROUND(AVERAGE(C37:G37),1),"")</f>
        <v/>
      </c>
      <c r="I37" s="4" t="n"/>
      <c r="J37" s="4" t="n"/>
      <c r="K37" s="4" t="n"/>
      <c r="L37" s="6">
        <f>IF(COUNT(I37:K37)&gt;0,ROUND(AVERAGE(I37:K37),1),"")</f>
        <v/>
      </c>
      <c r="M37" s="6">
        <f>IF(AND(L37&lt;&gt;"",기준값!$B$9&lt;&gt;""),ROUND((L37-기준값!$B$9)*10,0),"")</f>
        <v/>
      </c>
      <c r="N37" s="4" t="n"/>
      <c r="O37" s="4" t="n"/>
      <c r="P37" s="4" t="n"/>
      <c r="Q37" s="4" t="n"/>
      <c r="R37" s="4" t="n"/>
      <c r="S37" s="4" t="n"/>
      <c r="T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6">
        <f>IF(COUNT(C38:G38)&gt;0,ROUND(AVERAGE(C38:G38),1),"")</f>
        <v/>
      </c>
      <c r="I38" s="4" t="n"/>
      <c r="J38" s="4" t="n"/>
      <c r="K38" s="4" t="n"/>
      <c r="L38" s="6">
        <f>IF(COUNT(I38:K38)&gt;0,ROUND(AVERAGE(I38:K38),1),"")</f>
        <v/>
      </c>
      <c r="M38" s="6">
        <f>IF(AND(L38&lt;&gt;"",기준값!$B$9&lt;&gt;""),ROUND((L38-기준값!$B$9)*10,0),"")</f>
        <v/>
      </c>
      <c r="N38" s="4" t="n"/>
      <c r="O38" s="4" t="n"/>
      <c r="P38" s="4" t="n"/>
      <c r="Q38" s="4" t="n"/>
      <c r="R38" s="4" t="n"/>
      <c r="S38" s="4" t="n"/>
      <c r="T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6">
        <f>IF(COUNT(C39:G39)&gt;0,ROUND(AVERAGE(C39:G39),1),"")</f>
        <v/>
      </c>
      <c r="I39" s="4" t="n"/>
      <c r="J39" s="4" t="n"/>
      <c r="K39" s="4" t="n"/>
      <c r="L39" s="6">
        <f>IF(COUNT(I39:K39)&gt;0,ROUND(AVERAGE(I39:K39),1),"")</f>
        <v/>
      </c>
      <c r="M39" s="6">
        <f>IF(AND(L39&lt;&gt;"",기준값!$B$9&lt;&gt;""),ROUND((L39-기준값!$B$9)*10,0),"")</f>
        <v/>
      </c>
      <c r="N39" s="4" t="n"/>
      <c r="O39" s="4" t="n"/>
      <c r="P39" s="4" t="n"/>
      <c r="Q39" s="4" t="n"/>
      <c r="R39" s="4" t="n"/>
      <c r="S39" s="4" t="n"/>
      <c r="T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6">
        <f>IF(COUNT(C40:G40)&gt;0,ROUND(AVERAGE(C40:G40),1),"")</f>
        <v/>
      </c>
      <c r="I40" s="4" t="n"/>
      <c r="J40" s="4" t="n"/>
      <c r="K40" s="4" t="n"/>
      <c r="L40" s="6">
        <f>IF(COUNT(I40:K40)&gt;0,ROUND(AVERAGE(I40:K40),1),"")</f>
        <v/>
      </c>
      <c r="M40" s="6">
        <f>IF(AND(L40&lt;&gt;"",기준값!$B$9&lt;&gt;""),ROUND((L40-기준값!$B$9)*10,0),"")</f>
        <v/>
      </c>
      <c r="N40" s="4" t="n"/>
      <c r="O40" s="4" t="n"/>
      <c r="P40" s="4" t="n"/>
      <c r="Q40" s="4" t="n"/>
      <c r="R40" s="4" t="n"/>
      <c r="S40" s="4" t="n"/>
      <c r="T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6">
        <f>IF(COUNT(C41:G41)&gt;0,ROUND(AVERAGE(C41:G41),1),"")</f>
        <v/>
      </c>
      <c r="I41" s="4" t="n"/>
      <c r="J41" s="4" t="n"/>
      <c r="K41" s="4" t="n"/>
      <c r="L41" s="6">
        <f>IF(COUNT(I41:K41)&gt;0,ROUND(AVERAGE(I41:K41),1),"")</f>
        <v/>
      </c>
      <c r="M41" s="6">
        <f>IF(AND(L41&lt;&gt;"",기준값!$B$9&lt;&gt;""),ROUND((L41-기준값!$B$9)*10,0),"")</f>
        <v/>
      </c>
      <c r="N41" s="4" t="n"/>
      <c r="O41" s="4" t="n"/>
      <c r="P41" s="4" t="n"/>
      <c r="Q41" s="4" t="n"/>
      <c r="R41" s="4" t="n"/>
      <c r="S41" s="4" t="n"/>
      <c r="T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6">
        <f>IF(COUNT(C42:G42)&gt;0,ROUND(AVERAGE(C42:G42),1),"")</f>
        <v/>
      </c>
      <c r="I42" s="4" t="n"/>
      <c r="J42" s="4" t="n"/>
      <c r="K42" s="4" t="n"/>
      <c r="L42" s="6">
        <f>IF(COUNT(I42:K42)&gt;0,ROUND(AVERAGE(I42:K42),1),"")</f>
        <v/>
      </c>
      <c r="M42" s="6">
        <f>IF(AND(L42&lt;&gt;"",기준값!$B$9&lt;&gt;""),ROUND((L42-기준값!$B$9)*10,0),"")</f>
        <v/>
      </c>
      <c r="N42" s="4" t="n"/>
      <c r="O42" s="4" t="n"/>
      <c r="P42" s="4" t="n"/>
      <c r="Q42" s="4" t="n"/>
      <c r="R42" s="4" t="n"/>
      <c r="S42" s="4" t="n"/>
      <c r="T42" s="4" t="n"/>
    </row>
    <row r="43">
      <c r="A43" s="3" t="n"/>
      <c r="B43" s="4" t="n"/>
      <c r="C43" s="4" t="n"/>
      <c r="D43" s="4" t="n"/>
      <c r="E43" s="4" t="n"/>
      <c r="F43" s="4" t="n"/>
      <c r="G43" s="4" t="n"/>
      <c r="H43" s="6">
        <f>IF(COUNT(C43:G43)&gt;0,ROUND(AVERAGE(C43:G43),1),"")</f>
        <v/>
      </c>
      <c r="I43" s="4" t="n"/>
      <c r="J43" s="4" t="n"/>
      <c r="K43" s="4" t="n"/>
      <c r="L43" s="6">
        <f>IF(COUNT(I43:K43)&gt;0,ROUND(AVERAGE(I43:K43),1),"")</f>
        <v/>
      </c>
      <c r="M43" s="6">
        <f>IF(AND(L43&lt;&gt;"",기준값!$B$9&lt;&gt;""),ROUND((L43-기준값!$B$9)*10,0),"")</f>
        <v/>
      </c>
      <c r="N43" s="4" t="n"/>
      <c r="O43" s="4" t="n"/>
      <c r="P43" s="4" t="n"/>
      <c r="Q43" s="4" t="n"/>
      <c r="R43" s="4" t="n"/>
      <c r="S43" s="4" t="n"/>
      <c r="T43" s="4" t="n"/>
    </row>
    <row r="44">
      <c r="A44" s="3" t="n"/>
      <c r="B44" s="4" t="n"/>
      <c r="C44" s="4" t="n"/>
      <c r="D44" s="4" t="n"/>
      <c r="E44" s="4" t="n"/>
      <c r="F44" s="4" t="n"/>
      <c r="G44" s="4" t="n"/>
      <c r="H44" s="6">
        <f>IF(COUNT(C44:G44)&gt;0,ROUND(AVERAGE(C44:G44),1),"")</f>
        <v/>
      </c>
      <c r="I44" s="4" t="n"/>
      <c r="J44" s="4" t="n"/>
      <c r="K44" s="4" t="n"/>
      <c r="L44" s="6">
        <f>IF(COUNT(I44:K44)&gt;0,ROUND(AVERAGE(I44:K44),1),"")</f>
        <v/>
      </c>
      <c r="M44" s="6">
        <f>IF(AND(L44&lt;&gt;"",기준값!$B$9&lt;&gt;""),ROUND((L44-기준값!$B$9)*10,0),"")</f>
        <v/>
      </c>
      <c r="N44" s="4" t="n"/>
      <c r="O44" s="4" t="n"/>
      <c r="P44" s="4" t="n"/>
      <c r="Q44" s="4" t="n"/>
      <c r="R44" s="4" t="n"/>
      <c r="S44" s="4" t="n"/>
      <c r="T44" s="4" t="n"/>
    </row>
    <row r="45">
      <c r="A45" s="3" t="n"/>
      <c r="B45" s="4" t="n"/>
      <c r="C45" s="4" t="n"/>
      <c r="D45" s="4" t="n"/>
      <c r="E45" s="4" t="n"/>
      <c r="F45" s="4" t="n"/>
      <c r="G45" s="4" t="n"/>
      <c r="H45" s="6">
        <f>IF(COUNT(C45:G45)&gt;0,ROUND(AVERAGE(C45:G45),1),"")</f>
        <v/>
      </c>
      <c r="I45" s="4" t="n"/>
      <c r="J45" s="4" t="n"/>
      <c r="K45" s="4" t="n"/>
      <c r="L45" s="6">
        <f>IF(COUNT(I45:K45)&gt;0,ROUND(AVERAGE(I45:K45),1),"")</f>
        <v/>
      </c>
      <c r="M45" s="6">
        <f>IF(AND(L45&lt;&gt;"",기준값!$B$9&lt;&gt;""),ROUND((L45-기준값!$B$9)*10,0),"")</f>
        <v/>
      </c>
      <c r="N45" s="4" t="n"/>
      <c r="O45" s="4" t="n"/>
      <c r="P45" s="4" t="n"/>
      <c r="Q45" s="4" t="n"/>
      <c r="R45" s="4" t="n"/>
      <c r="S45" s="4" t="n"/>
      <c r="T45" s="4" t="n"/>
    </row>
    <row r="46">
      <c r="A46" s="3" t="n"/>
      <c r="B46" s="4" t="n"/>
      <c r="C46" s="4" t="n"/>
      <c r="D46" s="4" t="n"/>
      <c r="E46" s="4" t="n"/>
      <c r="F46" s="4" t="n"/>
      <c r="G46" s="4" t="n"/>
      <c r="H46" s="6">
        <f>IF(COUNT(C46:G46)&gt;0,ROUND(AVERAGE(C46:G46),1),"")</f>
        <v/>
      </c>
      <c r="I46" s="4" t="n"/>
      <c r="J46" s="4" t="n"/>
      <c r="K46" s="4" t="n"/>
      <c r="L46" s="6">
        <f>IF(COUNT(I46:K46)&gt;0,ROUND(AVERAGE(I46:K46),1),"")</f>
        <v/>
      </c>
      <c r="M46" s="6">
        <f>IF(AND(L46&lt;&gt;"",기준값!$B$9&lt;&gt;""),ROUND((L46-기준값!$B$9)*10,0),"")</f>
        <v/>
      </c>
      <c r="N46" s="4" t="n"/>
      <c r="O46" s="4" t="n"/>
      <c r="P46" s="4" t="n"/>
      <c r="Q46" s="4" t="n"/>
      <c r="R46" s="4" t="n"/>
      <c r="S46" s="4" t="n"/>
      <c r="T46" s="4" t="n"/>
    </row>
    <row r="47">
      <c r="A47" s="3" t="n"/>
      <c r="B47" s="4" t="n"/>
      <c r="C47" s="4" t="n"/>
      <c r="D47" s="4" t="n"/>
      <c r="E47" s="4" t="n"/>
      <c r="F47" s="4" t="n"/>
      <c r="G47" s="4" t="n"/>
      <c r="H47" s="6">
        <f>IF(COUNT(C47:G47)&gt;0,ROUND(AVERAGE(C47:G47),1),"")</f>
        <v/>
      </c>
      <c r="I47" s="4" t="n"/>
      <c r="J47" s="4" t="n"/>
      <c r="K47" s="4" t="n"/>
      <c r="L47" s="6">
        <f>IF(COUNT(I47:K47)&gt;0,ROUND(AVERAGE(I47:K47),1),"")</f>
        <v/>
      </c>
      <c r="M47" s="6">
        <f>IF(AND(L47&lt;&gt;"",기준값!$B$9&lt;&gt;""),ROUND((L47-기준값!$B$9)*10,0),"")</f>
        <v/>
      </c>
      <c r="N47" s="4" t="n"/>
      <c r="O47" s="4" t="n"/>
      <c r="P47" s="4" t="n"/>
      <c r="Q47" s="4" t="n"/>
      <c r="R47" s="4" t="n"/>
      <c r="S47" s="4" t="n"/>
      <c r="T47" s="4" t="n"/>
    </row>
    <row r="48">
      <c r="A48" s="3" t="n"/>
      <c r="B48" s="4" t="n"/>
      <c r="C48" s="4" t="n"/>
      <c r="D48" s="4" t="n"/>
      <c r="E48" s="4" t="n"/>
      <c r="F48" s="4" t="n"/>
      <c r="G48" s="4" t="n"/>
      <c r="H48" s="6">
        <f>IF(COUNT(C48:G48)&gt;0,ROUND(AVERAGE(C48:G48),1),"")</f>
        <v/>
      </c>
      <c r="I48" s="4" t="n"/>
      <c r="J48" s="4" t="n"/>
      <c r="K48" s="4" t="n"/>
      <c r="L48" s="6">
        <f>IF(COUNT(I48:K48)&gt;0,ROUND(AVERAGE(I48:K48),1),"")</f>
        <v/>
      </c>
      <c r="M48" s="6">
        <f>IF(AND(L48&lt;&gt;"",기준값!$B$9&lt;&gt;""),ROUND((L48-기준값!$B$9)*10,0),"")</f>
        <v/>
      </c>
      <c r="N48" s="4" t="n"/>
      <c r="O48" s="4" t="n"/>
      <c r="P48" s="4" t="n"/>
      <c r="Q48" s="4" t="n"/>
      <c r="R48" s="4" t="n"/>
      <c r="S48" s="4" t="n"/>
      <c r="T48" s="4" t="n"/>
    </row>
    <row r="49">
      <c r="A49" s="3" t="n"/>
      <c r="B49" s="4" t="n"/>
      <c r="C49" s="4" t="n"/>
      <c r="D49" s="4" t="n"/>
      <c r="E49" s="4" t="n"/>
      <c r="F49" s="4" t="n"/>
      <c r="G49" s="4" t="n"/>
      <c r="H49" s="6">
        <f>IF(COUNT(C49:G49)&gt;0,ROUND(AVERAGE(C49:G49),1),"")</f>
        <v/>
      </c>
      <c r="I49" s="4" t="n"/>
      <c r="J49" s="4" t="n"/>
      <c r="K49" s="4" t="n"/>
      <c r="L49" s="6">
        <f>IF(COUNT(I49:K49)&gt;0,ROUND(AVERAGE(I49:K49),1),"")</f>
        <v/>
      </c>
      <c r="M49" s="6">
        <f>IF(AND(L49&lt;&gt;"",기준값!$B$9&lt;&gt;""),ROUND((L49-기준값!$B$9)*10,0),"")</f>
        <v/>
      </c>
      <c r="N49" s="4" t="n"/>
      <c r="O49" s="4" t="n"/>
      <c r="P49" s="4" t="n"/>
      <c r="Q49" s="4" t="n"/>
      <c r="R49" s="4" t="n"/>
      <c r="S49" s="4" t="n"/>
      <c r="T49" s="4" t="n"/>
    </row>
    <row r="50">
      <c r="A50" s="3" t="n"/>
      <c r="B50" s="4" t="n"/>
      <c r="C50" s="4" t="n"/>
      <c r="D50" s="4" t="n"/>
      <c r="E50" s="4" t="n"/>
      <c r="F50" s="4" t="n"/>
      <c r="G50" s="4" t="n"/>
      <c r="H50" s="6">
        <f>IF(COUNT(C50:G50)&gt;0,ROUND(AVERAGE(C50:G50),1),"")</f>
        <v/>
      </c>
      <c r="I50" s="4" t="n"/>
      <c r="J50" s="4" t="n"/>
      <c r="K50" s="4" t="n"/>
      <c r="L50" s="6">
        <f>IF(COUNT(I50:K50)&gt;0,ROUND(AVERAGE(I50:K50),1),"")</f>
        <v/>
      </c>
      <c r="M50" s="6">
        <f>IF(AND(L50&lt;&gt;"",기준값!$B$9&lt;&gt;""),ROUND((L50-기준값!$B$9)*10,0),"")</f>
        <v/>
      </c>
      <c r="N50" s="4" t="n"/>
      <c r="O50" s="4" t="n"/>
      <c r="P50" s="4" t="n"/>
      <c r="Q50" s="4" t="n"/>
      <c r="R50" s="4" t="n"/>
      <c r="S50" s="4" t="n"/>
      <c r="T50" s="4" t="n"/>
    </row>
    <row r="51">
      <c r="A51" s="3" t="n"/>
      <c r="B51" s="4" t="n"/>
      <c r="C51" s="4" t="n"/>
      <c r="D51" s="4" t="n"/>
      <c r="E51" s="4" t="n"/>
      <c r="F51" s="4" t="n"/>
      <c r="G51" s="4" t="n"/>
      <c r="H51" s="6">
        <f>IF(COUNT(C51:G51)&gt;0,ROUND(AVERAGE(C51:G51),1),"")</f>
        <v/>
      </c>
      <c r="I51" s="4" t="n"/>
      <c r="J51" s="4" t="n"/>
      <c r="K51" s="4" t="n"/>
      <c r="L51" s="6">
        <f>IF(COUNT(I51:K51)&gt;0,ROUND(AVERAGE(I51:K51),1),"")</f>
        <v/>
      </c>
      <c r="M51" s="6">
        <f>IF(AND(L51&lt;&gt;"",기준값!$B$9&lt;&gt;""),ROUND((L51-기준값!$B$9)*10,0),"")</f>
        <v/>
      </c>
      <c r="N51" s="4" t="n"/>
      <c r="O51" s="4" t="n"/>
      <c r="P51" s="4" t="n"/>
      <c r="Q51" s="4" t="n"/>
      <c r="R51" s="4" t="n"/>
      <c r="S51" s="4" t="n"/>
      <c r="T51" s="4" t="n"/>
    </row>
    <row r="52">
      <c r="A52" s="3" t="n"/>
      <c r="B52" s="4" t="n"/>
      <c r="C52" s="4" t="n"/>
      <c r="D52" s="4" t="n"/>
      <c r="E52" s="4" t="n"/>
      <c r="F52" s="4" t="n"/>
      <c r="G52" s="4" t="n"/>
      <c r="H52" s="6">
        <f>IF(COUNT(C52:G52)&gt;0,ROUND(AVERAGE(C52:G52),1),"")</f>
        <v/>
      </c>
      <c r="I52" s="4" t="n"/>
      <c r="J52" s="4" t="n"/>
      <c r="K52" s="4" t="n"/>
      <c r="L52" s="6">
        <f>IF(COUNT(I52:K52)&gt;0,ROUND(AVERAGE(I52:K52),1),"")</f>
        <v/>
      </c>
      <c r="M52" s="6">
        <f>IF(AND(L52&lt;&gt;"",기준값!$B$9&lt;&gt;""),ROUND((L52-기준값!$B$9)*10,0),"")</f>
        <v/>
      </c>
      <c r="N52" s="4" t="n"/>
      <c r="O52" s="4" t="n"/>
      <c r="P52" s="4" t="n"/>
      <c r="Q52" s="4" t="n"/>
      <c r="R52" s="4" t="n"/>
      <c r="S52" s="4" t="n"/>
      <c r="T52" s="4" t="n"/>
    </row>
    <row r="53">
      <c r="A53" s="3" t="n"/>
      <c r="B53" s="4" t="n"/>
      <c r="C53" s="4" t="n"/>
      <c r="D53" s="4" t="n"/>
      <c r="E53" s="4" t="n"/>
      <c r="F53" s="4" t="n"/>
      <c r="G53" s="4" t="n"/>
      <c r="H53" s="6">
        <f>IF(COUNT(C53:G53)&gt;0,ROUND(AVERAGE(C53:G53),1),"")</f>
        <v/>
      </c>
      <c r="I53" s="4" t="n"/>
      <c r="J53" s="4" t="n"/>
      <c r="K53" s="4" t="n"/>
      <c r="L53" s="6">
        <f>IF(COUNT(I53:K53)&gt;0,ROUND(AVERAGE(I53:K53),1),"")</f>
        <v/>
      </c>
      <c r="M53" s="6">
        <f>IF(AND(L53&lt;&gt;"",기준값!$B$9&lt;&gt;""),ROUND((L53-기준값!$B$9)*10,0),"")</f>
        <v/>
      </c>
      <c r="N53" s="4" t="n"/>
      <c r="O53" s="4" t="n"/>
      <c r="P53" s="4" t="n"/>
      <c r="Q53" s="4" t="n"/>
      <c r="R53" s="4" t="n"/>
      <c r="S53" s="4" t="n"/>
      <c r="T53" s="4" t="n"/>
    </row>
    <row r="54">
      <c r="A54" s="3" t="n"/>
      <c r="B54" s="4" t="n"/>
      <c r="C54" s="4" t="n"/>
      <c r="D54" s="4" t="n"/>
      <c r="E54" s="4" t="n"/>
      <c r="F54" s="4" t="n"/>
      <c r="G54" s="4" t="n"/>
      <c r="H54" s="6">
        <f>IF(COUNT(C54:G54)&gt;0,ROUND(AVERAGE(C54:G54),1),"")</f>
        <v/>
      </c>
      <c r="I54" s="4" t="n"/>
      <c r="J54" s="4" t="n"/>
      <c r="K54" s="4" t="n"/>
      <c r="L54" s="6">
        <f>IF(COUNT(I54:K54)&gt;0,ROUND(AVERAGE(I54:K54),1),"")</f>
        <v/>
      </c>
      <c r="M54" s="6">
        <f>IF(AND(L54&lt;&gt;"",기준값!$B$9&lt;&gt;""),ROUND((L54-기준값!$B$9)*10,0),"")</f>
        <v/>
      </c>
      <c r="N54" s="4" t="n"/>
      <c r="O54" s="4" t="n"/>
      <c r="P54" s="4" t="n"/>
      <c r="Q54" s="4" t="n"/>
      <c r="R54" s="4" t="n"/>
      <c r="S54" s="4" t="n"/>
      <c r="T54" s="4" t="n"/>
    </row>
    <row r="55">
      <c r="A55" s="3" t="n"/>
      <c r="B55" s="4" t="n"/>
      <c r="C55" s="4" t="n"/>
      <c r="D55" s="4" t="n"/>
      <c r="E55" s="4" t="n"/>
      <c r="F55" s="4" t="n"/>
      <c r="G55" s="4" t="n"/>
      <c r="H55" s="6">
        <f>IF(COUNT(C55:G55)&gt;0,ROUND(AVERAGE(C55:G55),1),"")</f>
        <v/>
      </c>
      <c r="I55" s="4" t="n"/>
      <c r="J55" s="4" t="n"/>
      <c r="K55" s="4" t="n"/>
      <c r="L55" s="6">
        <f>IF(COUNT(I55:K55)&gt;0,ROUND(AVERAGE(I55:K55),1),"")</f>
        <v/>
      </c>
      <c r="M55" s="6">
        <f>IF(AND(L55&lt;&gt;"",기준값!$B$9&lt;&gt;""),ROUND((L55-기준값!$B$9)*10,0),"")</f>
        <v/>
      </c>
      <c r="N55" s="4" t="n"/>
      <c r="O55" s="4" t="n"/>
      <c r="P55" s="4" t="n"/>
      <c r="Q55" s="4" t="n"/>
      <c r="R55" s="4" t="n"/>
      <c r="S55" s="4" t="n"/>
      <c r="T55" s="4" t="n"/>
    </row>
    <row r="56">
      <c r="A56" s="3" t="n"/>
      <c r="B56" s="4" t="n"/>
      <c r="C56" s="4" t="n"/>
      <c r="D56" s="4" t="n"/>
      <c r="E56" s="4" t="n"/>
      <c r="F56" s="4" t="n"/>
      <c r="G56" s="4" t="n"/>
      <c r="H56" s="6">
        <f>IF(COUNT(C56:G56)&gt;0,ROUND(AVERAGE(C56:G56),1),"")</f>
        <v/>
      </c>
      <c r="I56" s="4" t="n"/>
      <c r="J56" s="4" t="n"/>
      <c r="K56" s="4" t="n"/>
      <c r="L56" s="6">
        <f>IF(COUNT(I56:K56)&gt;0,ROUND(AVERAGE(I56:K56),1),"")</f>
        <v/>
      </c>
      <c r="M56" s="6">
        <f>IF(AND(L56&lt;&gt;"",기준값!$B$9&lt;&gt;""),ROUND((L56-기준값!$B$9)*10,0),"")</f>
        <v/>
      </c>
      <c r="N56" s="4" t="n"/>
      <c r="O56" s="4" t="n"/>
      <c r="P56" s="4" t="n"/>
      <c r="Q56" s="4" t="n"/>
      <c r="R56" s="4" t="n"/>
      <c r="S56" s="4" t="n"/>
      <c r="T56" s="4" t="n"/>
    </row>
    <row r="57">
      <c r="A57" s="3" t="n"/>
      <c r="B57" s="4" t="n"/>
      <c r="C57" s="4" t="n"/>
      <c r="D57" s="4" t="n"/>
      <c r="E57" s="4" t="n"/>
      <c r="F57" s="4" t="n"/>
      <c r="G57" s="4" t="n"/>
      <c r="H57" s="6">
        <f>IF(COUNT(C57:G57)&gt;0,ROUND(AVERAGE(C57:G57),1),"")</f>
        <v/>
      </c>
      <c r="I57" s="4" t="n"/>
      <c r="J57" s="4" t="n"/>
      <c r="K57" s="4" t="n"/>
      <c r="L57" s="6">
        <f>IF(COUNT(I57:K57)&gt;0,ROUND(AVERAGE(I57:K57),1),"")</f>
        <v/>
      </c>
      <c r="M57" s="6">
        <f>IF(AND(L57&lt;&gt;"",기준값!$B$9&lt;&gt;""),ROUND((L57-기준값!$B$9)*10,0),"")</f>
        <v/>
      </c>
      <c r="N57" s="4" t="n"/>
      <c r="O57" s="4" t="n"/>
      <c r="P57" s="4" t="n"/>
      <c r="Q57" s="4" t="n"/>
      <c r="R57" s="4" t="n"/>
      <c r="S57" s="4" t="n"/>
      <c r="T57" s="4" t="n"/>
    </row>
    <row r="58">
      <c r="A58" s="3" t="n"/>
      <c r="B58" s="4" t="n"/>
      <c r="C58" s="4" t="n"/>
      <c r="D58" s="4" t="n"/>
      <c r="E58" s="4" t="n"/>
      <c r="F58" s="4" t="n"/>
      <c r="G58" s="4" t="n"/>
      <c r="H58" s="6">
        <f>IF(COUNT(C58:G58)&gt;0,ROUND(AVERAGE(C58:G58),1),"")</f>
        <v/>
      </c>
      <c r="I58" s="4" t="n"/>
      <c r="J58" s="4" t="n"/>
      <c r="K58" s="4" t="n"/>
      <c r="L58" s="6">
        <f>IF(COUNT(I58:K58)&gt;0,ROUND(AVERAGE(I58:K58),1),"")</f>
        <v/>
      </c>
      <c r="M58" s="6">
        <f>IF(AND(L58&lt;&gt;"",기준값!$B$9&lt;&gt;""),ROUND((L58-기준값!$B$9)*10,0),"")</f>
        <v/>
      </c>
      <c r="N58" s="4" t="n"/>
      <c r="O58" s="4" t="n"/>
      <c r="P58" s="4" t="n"/>
      <c r="Q58" s="4" t="n"/>
      <c r="R58" s="4" t="n"/>
      <c r="S58" s="4" t="n"/>
      <c r="T58" s="4" t="n"/>
    </row>
    <row r="59">
      <c r="A59" s="3" t="n"/>
      <c r="B59" s="4" t="n"/>
      <c r="C59" s="4" t="n"/>
      <c r="D59" s="4" t="n"/>
      <c r="E59" s="4" t="n"/>
      <c r="F59" s="4" t="n"/>
      <c r="G59" s="4" t="n"/>
      <c r="H59" s="6">
        <f>IF(COUNT(C59:G59)&gt;0,ROUND(AVERAGE(C59:G59),1),"")</f>
        <v/>
      </c>
      <c r="I59" s="4" t="n"/>
      <c r="J59" s="4" t="n"/>
      <c r="K59" s="4" t="n"/>
      <c r="L59" s="6">
        <f>IF(COUNT(I59:K59)&gt;0,ROUND(AVERAGE(I59:K59),1),"")</f>
        <v/>
      </c>
      <c r="M59" s="6">
        <f>IF(AND(L59&lt;&gt;"",기준값!$B$9&lt;&gt;""),ROUND((L59-기준값!$B$9)*10,0),"")</f>
        <v/>
      </c>
      <c r="N59" s="4" t="n"/>
      <c r="O59" s="4" t="n"/>
      <c r="P59" s="4" t="n"/>
      <c r="Q59" s="4" t="n"/>
      <c r="R59" s="4" t="n"/>
      <c r="S59" s="4" t="n"/>
      <c r="T59" s="4" t="n"/>
    </row>
    <row r="60">
      <c r="A60" s="3" t="n"/>
      <c r="B60" s="4" t="n"/>
      <c r="C60" s="4" t="n"/>
      <c r="D60" s="4" t="n"/>
      <c r="E60" s="4" t="n"/>
      <c r="F60" s="4" t="n"/>
      <c r="G60" s="4" t="n"/>
      <c r="H60" s="6">
        <f>IF(COUNT(C60:G60)&gt;0,ROUND(AVERAGE(C60:G60),1),"")</f>
        <v/>
      </c>
      <c r="I60" s="4" t="n"/>
      <c r="J60" s="4" t="n"/>
      <c r="K60" s="4" t="n"/>
      <c r="L60" s="6">
        <f>IF(COUNT(I60:K60)&gt;0,ROUND(AVERAGE(I60:K60),1),"")</f>
        <v/>
      </c>
      <c r="M60" s="6">
        <f>IF(AND(L60&lt;&gt;"",기준값!$B$9&lt;&gt;""),ROUND((L60-기준값!$B$9)*10,0),"")</f>
        <v/>
      </c>
      <c r="N60" s="4" t="n"/>
      <c r="O60" s="4" t="n"/>
      <c r="P60" s="4" t="n"/>
      <c r="Q60" s="4" t="n"/>
      <c r="R60" s="4" t="n"/>
      <c r="S60" s="4" t="n"/>
      <c r="T60" s="4" t="n"/>
    </row>
    <row r="61">
      <c r="A61" s="3" t="n"/>
      <c r="B61" s="4" t="n"/>
      <c r="C61" s="4" t="n"/>
      <c r="D61" s="4" t="n"/>
      <c r="E61" s="4" t="n"/>
      <c r="F61" s="4" t="n"/>
      <c r="G61" s="4" t="n"/>
      <c r="H61" s="6">
        <f>IF(COUNT(C61:G61)&gt;0,ROUND(AVERAGE(C61:G61),1),"")</f>
        <v/>
      </c>
      <c r="I61" s="4" t="n"/>
      <c r="J61" s="4" t="n"/>
      <c r="K61" s="4" t="n"/>
      <c r="L61" s="6">
        <f>IF(COUNT(I61:K61)&gt;0,ROUND(AVERAGE(I61:K61),1),"")</f>
        <v/>
      </c>
      <c r="M61" s="6">
        <f>IF(AND(L61&lt;&gt;"",기준값!$B$9&lt;&gt;""),ROUND((L61-기준값!$B$9)*10,0),"")</f>
        <v/>
      </c>
      <c r="N61" s="4" t="n"/>
      <c r="O61" s="4" t="n"/>
      <c r="P61" s="4" t="n"/>
      <c r="Q61" s="4" t="n"/>
      <c r="R61" s="4" t="n"/>
      <c r="S61" s="4" t="n"/>
      <c r="T61" s="4" t="n"/>
    </row>
    <row r="62">
      <c r="A62" s="3" t="n"/>
      <c r="B62" s="4" t="n"/>
      <c r="C62" s="4" t="n"/>
      <c r="D62" s="4" t="n"/>
      <c r="E62" s="4" t="n"/>
      <c r="F62" s="4" t="n"/>
      <c r="G62" s="4" t="n"/>
      <c r="H62" s="6">
        <f>IF(COUNT(C62:G62)&gt;0,ROUND(AVERAGE(C62:G62),1),"")</f>
        <v/>
      </c>
      <c r="I62" s="4" t="n"/>
      <c r="J62" s="4" t="n"/>
      <c r="K62" s="4" t="n"/>
      <c r="L62" s="6">
        <f>IF(COUNT(I62:K62)&gt;0,ROUND(AVERAGE(I62:K62),1),"")</f>
        <v/>
      </c>
      <c r="M62" s="6">
        <f>IF(AND(L62&lt;&gt;"",기준값!$B$9&lt;&gt;""),ROUND((L62-기준값!$B$9)*10,0),"")</f>
        <v/>
      </c>
      <c r="N62" s="4" t="n"/>
      <c r="O62" s="4" t="n"/>
      <c r="P62" s="4" t="n"/>
      <c r="Q62" s="4" t="n"/>
      <c r="R62" s="4" t="n"/>
      <c r="S62" s="4" t="n"/>
      <c r="T62" s="4" t="n"/>
    </row>
    <row r="63">
      <c r="A63" s="3" t="n"/>
      <c r="B63" s="4" t="n"/>
      <c r="C63" s="4" t="n"/>
      <c r="D63" s="4" t="n"/>
      <c r="E63" s="4" t="n"/>
      <c r="F63" s="4" t="n"/>
      <c r="G63" s="4" t="n"/>
      <c r="H63" s="6">
        <f>IF(COUNT(C63:G63)&gt;0,ROUND(AVERAGE(C63:G63),1),"")</f>
        <v/>
      </c>
      <c r="I63" s="4" t="n"/>
      <c r="J63" s="4" t="n"/>
      <c r="K63" s="4" t="n"/>
      <c r="L63" s="6">
        <f>IF(COUNT(I63:K63)&gt;0,ROUND(AVERAGE(I63:K63),1),"")</f>
        <v/>
      </c>
      <c r="M63" s="6">
        <f>IF(AND(L63&lt;&gt;"",기준값!$B$9&lt;&gt;""),ROUND((L63-기준값!$B$9)*10,0),"")</f>
        <v/>
      </c>
      <c r="N63" s="4" t="n"/>
      <c r="O63" s="4" t="n"/>
      <c r="P63" s="4" t="n"/>
      <c r="Q63" s="4" t="n"/>
      <c r="R63" s="4" t="n"/>
      <c r="S63" s="4" t="n"/>
      <c r="T63" s="4" t="n"/>
    </row>
    <row r="64">
      <c r="A64" s="3" t="n"/>
      <c r="B64" s="4" t="n"/>
      <c r="C64" s="4" t="n"/>
      <c r="D64" s="4" t="n"/>
      <c r="E64" s="4" t="n"/>
      <c r="F64" s="4" t="n"/>
      <c r="G64" s="4" t="n"/>
      <c r="H64" s="6">
        <f>IF(COUNT(C64:G64)&gt;0,ROUND(AVERAGE(C64:G64),1),"")</f>
        <v/>
      </c>
      <c r="I64" s="4" t="n"/>
      <c r="J64" s="4" t="n"/>
      <c r="K64" s="4" t="n"/>
      <c r="L64" s="6">
        <f>IF(COUNT(I64:K64)&gt;0,ROUND(AVERAGE(I64:K64),1),"")</f>
        <v/>
      </c>
      <c r="M64" s="6">
        <f>IF(AND(L64&lt;&gt;"",기준값!$B$9&lt;&gt;""),ROUND((L64-기준값!$B$9)*10,0),"")</f>
        <v/>
      </c>
      <c r="N64" s="4" t="n"/>
      <c r="O64" s="4" t="n"/>
      <c r="P64" s="4" t="n"/>
      <c r="Q64" s="4" t="n"/>
      <c r="R64" s="4" t="n"/>
      <c r="S64" s="4" t="n"/>
      <c r="T64" s="4" t="n"/>
    </row>
    <row r="65">
      <c r="A65" s="3" t="n"/>
      <c r="B65" s="4" t="n"/>
      <c r="C65" s="4" t="n"/>
      <c r="D65" s="4" t="n"/>
      <c r="E65" s="4" t="n"/>
      <c r="F65" s="4" t="n"/>
      <c r="G65" s="4" t="n"/>
      <c r="H65" s="6">
        <f>IF(COUNT(C65:G65)&gt;0,ROUND(AVERAGE(C65:G65),1),"")</f>
        <v/>
      </c>
      <c r="I65" s="4" t="n"/>
      <c r="J65" s="4" t="n"/>
      <c r="K65" s="4" t="n"/>
      <c r="L65" s="6">
        <f>IF(COUNT(I65:K65)&gt;0,ROUND(AVERAGE(I65:K65),1),"")</f>
        <v/>
      </c>
      <c r="M65" s="6">
        <f>IF(AND(L65&lt;&gt;"",기준값!$B$9&lt;&gt;""),ROUND((L65-기준값!$B$9)*10,0),"")</f>
        <v/>
      </c>
      <c r="N65" s="4" t="n"/>
      <c r="O65" s="4" t="n"/>
      <c r="P65" s="4" t="n"/>
      <c r="Q65" s="4" t="n"/>
      <c r="R65" s="4" t="n"/>
      <c r="S65" s="4" t="n"/>
      <c r="T65" s="4" t="n"/>
    </row>
    <row r="66">
      <c r="A66" s="3" t="n"/>
      <c r="B66" s="4" t="n"/>
      <c r="C66" s="4" t="n"/>
      <c r="D66" s="4" t="n"/>
      <c r="E66" s="4" t="n"/>
      <c r="F66" s="4" t="n"/>
      <c r="G66" s="4" t="n"/>
      <c r="H66" s="6">
        <f>IF(COUNT(C66:G66)&gt;0,ROUND(AVERAGE(C66:G66),1),"")</f>
        <v/>
      </c>
      <c r="I66" s="4" t="n"/>
      <c r="J66" s="4" t="n"/>
      <c r="K66" s="4" t="n"/>
      <c r="L66" s="6">
        <f>IF(COUNT(I66:K66)&gt;0,ROUND(AVERAGE(I66:K66),1),"")</f>
        <v/>
      </c>
      <c r="M66" s="6">
        <f>IF(AND(L66&lt;&gt;"",기준값!$B$9&lt;&gt;""),ROUND((L66-기준값!$B$9)*10,0),"")</f>
        <v/>
      </c>
      <c r="N66" s="4" t="n"/>
      <c r="O66" s="4" t="n"/>
      <c r="P66" s="4" t="n"/>
      <c r="Q66" s="4" t="n"/>
      <c r="R66" s="4" t="n"/>
      <c r="S66" s="4" t="n"/>
      <c r="T66" s="4" t="n"/>
    </row>
    <row r="67">
      <c r="A67" s="3" t="n"/>
      <c r="B67" s="4" t="n"/>
      <c r="C67" s="4" t="n"/>
      <c r="D67" s="4" t="n"/>
      <c r="E67" s="4" t="n"/>
      <c r="F67" s="4" t="n"/>
      <c r="G67" s="4" t="n"/>
      <c r="H67" s="6">
        <f>IF(COUNT(C67:G67)&gt;0,ROUND(AVERAGE(C67:G67),1),"")</f>
        <v/>
      </c>
      <c r="I67" s="4" t="n"/>
      <c r="J67" s="4" t="n"/>
      <c r="K67" s="4" t="n"/>
      <c r="L67" s="6">
        <f>IF(COUNT(I67:K67)&gt;0,ROUND(AVERAGE(I67:K67),1),"")</f>
        <v/>
      </c>
      <c r="M67" s="6">
        <f>IF(AND(L67&lt;&gt;"",기준값!$B$9&lt;&gt;""),ROUND((L67-기준값!$B$9)*10,0),"")</f>
        <v/>
      </c>
      <c r="N67" s="4" t="n"/>
      <c r="O67" s="4" t="n"/>
      <c r="P67" s="4" t="n"/>
      <c r="Q67" s="4" t="n"/>
      <c r="R67" s="4" t="n"/>
      <c r="S67" s="4" t="n"/>
      <c r="T67" s="4" t="n"/>
    </row>
    <row r="68">
      <c r="A68" s="3" t="n"/>
      <c r="B68" s="4" t="n"/>
      <c r="C68" s="4" t="n"/>
      <c r="D68" s="4" t="n"/>
      <c r="E68" s="4" t="n"/>
      <c r="F68" s="4" t="n"/>
      <c r="G68" s="4" t="n"/>
      <c r="H68" s="6">
        <f>IF(COUNT(C68:G68)&gt;0,ROUND(AVERAGE(C68:G68),1),"")</f>
        <v/>
      </c>
      <c r="I68" s="4" t="n"/>
      <c r="J68" s="4" t="n"/>
      <c r="K68" s="4" t="n"/>
      <c r="L68" s="6">
        <f>IF(COUNT(I68:K68)&gt;0,ROUND(AVERAGE(I68:K68),1),"")</f>
        <v/>
      </c>
      <c r="M68" s="6">
        <f>IF(AND(L68&lt;&gt;"",기준값!$B$9&lt;&gt;""),ROUND((L68-기준값!$B$9)*10,0),"")</f>
        <v/>
      </c>
      <c r="N68" s="4" t="n"/>
      <c r="O68" s="4" t="n"/>
      <c r="P68" s="4" t="n"/>
      <c r="Q68" s="4" t="n"/>
      <c r="R68" s="4" t="n"/>
      <c r="S68" s="4" t="n"/>
      <c r="T68" s="4" t="n"/>
    </row>
    <row r="69">
      <c r="A69" s="3" t="n"/>
      <c r="B69" s="4" t="n"/>
      <c r="C69" s="4" t="n"/>
      <c r="D69" s="4" t="n"/>
      <c r="E69" s="4" t="n"/>
      <c r="F69" s="4" t="n"/>
      <c r="G69" s="4" t="n"/>
      <c r="H69" s="6">
        <f>IF(COUNT(C69:G69)&gt;0,ROUND(AVERAGE(C69:G69),1),"")</f>
        <v/>
      </c>
      <c r="I69" s="4" t="n"/>
      <c r="J69" s="4" t="n"/>
      <c r="K69" s="4" t="n"/>
      <c r="L69" s="6">
        <f>IF(COUNT(I69:K69)&gt;0,ROUND(AVERAGE(I69:K69),1),"")</f>
        <v/>
      </c>
      <c r="M69" s="6">
        <f>IF(AND(L69&lt;&gt;"",기준값!$B$9&lt;&gt;""),ROUND((L69-기준값!$B$9)*10,0),"")</f>
        <v/>
      </c>
      <c r="N69" s="4" t="n"/>
      <c r="O69" s="4" t="n"/>
      <c r="P69" s="4" t="n"/>
      <c r="Q69" s="4" t="n"/>
      <c r="R69" s="4" t="n"/>
      <c r="S69" s="4" t="n"/>
      <c r="T69" s="4" t="n"/>
    </row>
    <row r="70">
      <c r="A70" s="3" t="n"/>
      <c r="B70" s="4" t="n"/>
      <c r="C70" s="4" t="n"/>
      <c r="D70" s="4" t="n"/>
      <c r="E70" s="4" t="n"/>
      <c r="F70" s="4" t="n"/>
      <c r="G70" s="4" t="n"/>
      <c r="H70" s="6">
        <f>IF(COUNT(C70:G70)&gt;0,ROUND(AVERAGE(C70:G70),1),"")</f>
        <v/>
      </c>
      <c r="I70" s="4" t="n"/>
      <c r="J70" s="4" t="n"/>
      <c r="K70" s="4" t="n"/>
      <c r="L70" s="6">
        <f>IF(COUNT(I70:K70)&gt;0,ROUND(AVERAGE(I70:K70),1),"")</f>
        <v/>
      </c>
      <c r="M70" s="6">
        <f>IF(AND(L70&lt;&gt;"",기준값!$B$9&lt;&gt;""),ROUND((L70-기준값!$B$9)*10,0),"")</f>
        <v/>
      </c>
      <c r="N70" s="4" t="n"/>
      <c r="O70" s="4" t="n"/>
      <c r="P70" s="4" t="n"/>
      <c r="Q70" s="4" t="n"/>
      <c r="R70" s="4" t="n"/>
      <c r="S70" s="4" t="n"/>
      <c r="T70" s="4" t="n"/>
    </row>
    <row r="71">
      <c r="A71" s="3" t="n"/>
      <c r="B71" s="4" t="n"/>
      <c r="C71" s="4" t="n"/>
      <c r="D71" s="4" t="n"/>
      <c r="E71" s="4" t="n"/>
      <c r="F71" s="4" t="n"/>
      <c r="G71" s="4" t="n"/>
      <c r="H71" s="6">
        <f>IF(COUNT(C71:G71)&gt;0,ROUND(AVERAGE(C71:G71),1),"")</f>
        <v/>
      </c>
      <c r="I71" s="4" t="n"/>
      <c r="J71" s="4" t="n"/>
      <c r="K71" s="4" t="n"/>
      <c r="L71" s="6">
        <f>IF(COUNT(I71:K71)&gt;0,ROUND(AVERAGE(I71:K71),1),"")</f>
        <v/>
      </c>
      <c r="M71" s="6">
        <f>IF(AND(L71&lt;&gt;"",기준값!$B$9&lt;&gt;""),ROUND((L71-기준값!$B$9)*10,0),"")</f>
        <v/>
      </c>
      <c r="N71" s="4" t="n"/>
      <c r="O71" s="4" t="n"/>
      <c r="P71" s="4" t="n"/>
      <c r="Q71" s="4" t="n"/>
      <c r="R71" s="4" t="n"/>
      <c r="S71" s="4" t="n"/>
      <c r="T71" s="4" t="n"/>
    </row>
    <row r="72">
      <c r="A72" s="3" t="n"/>
      <c r="B72" s="4" t="n"/>
      <c r="C72" s="4" t="n"/>
      <c r="D72" s="4" t="n"/>
      <c r="E72" s="4" t="n"/>
      <c r="F72" s="4" t="n"/>
      <c r="G72" s="4" t="n"/>
      <c r="H72" s="6">
        <f>IF(COUNT(C72:G72)&gt;0,ROUND(AVERAGE(C72:G72),1),"")</f>
        <v/>
      </c>
      <c r="I72" s="4" t="n"/>
      <c r="J72" s="4" t="n"/>
      <c r="K72" s="4" t="n"/>
      <c r="L72" s="6">
        <f>IF(COUNT(I72:K72)&gt;0,ROUND(AVERAGE(I72:K72),1),"")</f>
        <v/>
      </c>
      <c r="M72" s="6">
        <f>IF(AND(L72&lt;&gt;"",기준값!$B$9&lt;&gt;""),ROUND((L72-기준값!$B$9)*10,0),"")</f>
        <v/>
      </c>
      <c r="N72" s="4" t="n"/>
      <c r="O72" s="4" t="n"/>
      <c r="P72" s="4" t="n"/>
      <c r="Q72" s="4" t="n"/>
      <c r="R72" s="4" t="n"/>
      <c r="S72" s="4" t="n"/>
      <c r="T72" s="4" t="n"/>
    </row>
    <row r="73">
      <c r="A73" s="3" t="n"/>
      <c r="B73" s="4" t="n"/>
      <c r="C73" s="4" t="n"/>
      <c r="D73" s="4" t="n"/>
      <c r="E73" s="4" t="n"/>
      <c r="F73" s="4" t="n"/>
      <c r="G73" s="4" t="n"/>
      <c r="H73" s="6">
        <f>IF(COUNT(C73:G73)&gt;0,ROUND(AVERAGE(C73:G73),1),"")</f>
        <v/>
      </c>
      <c r="I73" s="4" t="n"/>
      <c r="J73" s="4" t="n"/>
      <c r="K73" s="4" t="n"/>
      <c r="L73" s="6">
        <f>IF(COUNT(I73:K73)&gt;0,ROUND(AVERAGE(I73:K73),1),"")</f>
        <v/>
      </c>
      <c r="M73" s="6">
        <f>IF(AND(L73&lt;&gt;"",기준값!$B$9&lt;&gt;""),ROUND((L73-기준값!$B$9)*10,0),"")</f>
        <v/>
      </c>
      <c r="N73" s="4" t="n"/>
      <c r="O73" s="4" t="n"/>
      <c r="P73" s="4" t="n"/>
      <c r="Q73" s="4" t="n"/>
      <c r="R73" s="4" t="n"/>
      <c r="S73" s="4" t="n"/>
      <c r="T73" s="4" t="n"/>
    </row>
    <row r="74">
      <c r="A74" s="3" t="n"/>
      <c r="B74" s="4" t="n"/>
      <c r="C74" s="4" t="n"/>
      <c r="D74" s="4" t="n"/>
      <c r="E74" s="4" t="n"/>
      <c r="F74" s="4" t="n"/>
      <c r="G74" s="4" t="n"/>
      <c r="H74" s="6">
        <f>IF(COUNT(C74:G74)&gt;0,ROUND(AVERAGE(C74:G74),1),"")</f>
        <v/>
      </c>
      <c r="I74" s="4" t="n"/>
      <c r="J74" s="4" t="n"/>
      <c r="K74" s="4" t="n"/>
      <c r="L74" s="6">
        <f>IF(COUNT(I74:K74)&gt;0,ROUND(AVERAGE(I74:K74),1),"")</f>
        <v/>
      </c>
      <c r="M74" s="6">
        <f>IF(AND(L74&lt;&gt;"",기준값!$B$9&lt;&gt;""),ROUND((L74-기준값!$B$9)*10,0),"")</f>
        <v/>
      </c>
      <c r="N74" s="4" t="n"/>
      <c r="O74" s="4" t="n"/>
      <c r="P74" s="4" t="n"/>
      <c r="Q74" s="4" t="n"/>
      <c r="R74" s="4" t="n"/>
      <c r="S74" s="4" t="n"/>
      <c r="T74" s="4" t="n"/>
    </row>
    <row r="75">
      <c r="A75" s="3" t="n"/>
      <c r="B75" s="4" t="n"/>
      <c r="C75" s="4" t="n"/>
      <c r="D75" s="4" t="n"/>
      <c r="E75" s="4" t="n"/>
      <c r="F75" s="4" t="n"/>
      <c r="G75" s="4" t="n"/>
      <c r="H75" s="6">
        <f>IF(COUNT(C75:G75)&gt;0,ROUND(AVERAGE(C75:G75),1),"")</f>
        <v/>
      </c>
      <c r="I75" s="4" t="n"/>
      <c r="J75" s="4" t="n"/>
      <c r="K75" s="4" t="n"/>
      <c r="L75" s="6">
        <f>IF(COUNT(I75:K75)&gt;0,ROUND(AVERAGE(I75:K75),1),"")</f>
        <v/>
      </c>
      <c r="M75" s="6">
        <f>IF(AND(L75&lt;&gt;"",기준값!$B$9&lt;&gt;""),ROUND((L75-기준값!$B$9)*10,0),"")</f>
        <v/>
      </c>
      <c r="N75" s="4" t="n"/>
      <c r="O75" s="4" t="n"/>
      <c r="P75" s="4" t="n"/>
      <c r="Q75" s="4" t="n"/>
      <c r="R75" s="4" t="n"/>
      <c r="S75" s="4" t="n"/>
      <c r="T75" s="4" t="n"/>
    </row>
    <row r="76">
      <c r="A76" s="3" t="n"/>
      <c r="B76" s="4" t="n"/>
      <c r="C76" s="4" t="n"/>
      <c r="D76" s="4" t="n"/>
      <c r="E76" s="4" t="n"/>
      <c r="F76" s="4" t="n"/>
      <c r="G76" s="4" t="n"/>
      <c r="H76" s="6">
        <f>IF(COUNT(C76:G76)&gt;0,ROUND(AVERAGE(C76:G76),1),"")</f>
        <v/>
      </c>
      <c r="I76" s="4" t="n"/>
      <c r="J76" s="4" t="n"/>
      <c r="K76" s="4" t="n"/>
      <c r="L76" s="6">
        <f>IF(COUNT(I76:K76)&gt;0,ROUND(AVERAGE(I76:K76),1),"")</f>
        <v/>
      </c>
      <c r="M76" s="6">
        <f>IF(AND(L76&lt;&gt;"",기준값!$B$9&lt;&gt;""),ROUND((L76-기준값!$B$9)*10,0),"")</f>
        <v/>
      </c>
      <c r="N76" s="4" t="n"/>
      <c r="O76" s="4" t="n"/>
      <c r="P76" s="4" t="n"/>
      <c r="Q76" s="4" t="n"/>
      <c r="R76" s="4" t="n"/>
      <c r="S76" s="4" t="n"/>
      <c r="T76" s="4" t="n"/>
    </row>
    <row r="77">
      <c r="A77" s="3" t="n"/>
      <c r="B77" s="4" t="n"/>
      <c r="C77" s="4" t="n"/>
      <c r="D77" s="4" t="n"/>
      <c r="E77" s="4" t="n"/>
      <c r="F77" s="4" t="n"/>
      <c r="G77" s="4" t="n"/>
      <c r="H77" s="6">
        <f>IF(COUNT(C77:G77)&gt;0,ROUND(AVERAGE(C77:G77),1),"")</f>
        <v/>
      </c>
      <c r="I77" s="4" t="n"/>
      <c r="J77" s="4" t="n"/>
      <c r="K77" s="4" t="n"/>
      <c r="L77" s="6">
        <f>IF(COUNT(I77:K77)&gt;0,ROUND(AVERAGE(I77:K77),1),"")</f>
        <v/>
      </c>
      <c r="M77" s="6">
        <f>IF(AND(L77&lt;&gt;"",기준값!$B$9&lt;&gt;""),ROUND((L77-기준값!$B$9)*10,0),"")</f>
        <v/>
      </c>
      <c r="N77" s="4" t="n"/>
      <c r="O77" s="4" t="n"/>
      <c r="P77" s="4" t="n"/>
      <c r="Q77" s="4" t="n"/>
      <c r="R77" s="4" t="n"/>
      <c r="S77" s="4" t="n"/>
      <c r="T77" s="4" t="n"/>
    </row>
    <row r="78">
      <c r="A78" s="3" t="n"/>
      <c r="B78" s="4" t="n"/>
      <c r="C78" s="4" t="n"/>
      <c r="D78" s="4" t="n"/>
      <c r="E78" s="4" t="n"/>
      <c r="F78" s="4" t="n"/>
      <c r="G78" s="4" t="n"/>
      <c r="H78" s="6">
        <f>IF(COUNT(C78:G78)&gt;0,ROUND(AVERAGE(C78:G78),1),"")</f>
        <v/>
      </c>
      <c r="I78" s="4" t="n"/>
      <c r="J78" s="4" t="n"/>
      <c r="K78" s="4" t="n"/>
      <c r="L78" s="6">
        <f>IF(COUNT(I78:K78)&gt;0,ROUND(AVERAGE(I78:K78),1),"")</f>
        <v/>
      </c>
      <c r="M78" s="6">
        <f>IF(AND(L78&lt;&gt;"",기준값!$B$9&lt;&gt;""),ROUND((L78-기준값!$B$9)*10,0),"")</f>
        <v/>
      </c>
      <c r="N78" s="4" t="n"/>
      <c r="O78" s="4" t="n"/>
      <c r="P78" s="4" t="n"/>
      <c r="Q78" s="4" t="n"/>
      <c r="R78" s="4" t="n"/>
      <c r="S78" s="4" t="n"/>
      <c r="T78" s="4" t="n"/>
    </row>
    <row r="79">
      <c r="A79" s="3" t="n"/>
      <c r="B79" s="4" t="n"/>
      <c r="C79" s="4" t="n"/>
      <c r="D79" s="4" t="n"/>
      <c r="E79" s="4" t="n"/>
      <c r="F79" s="4" t="n"/>
      <c r="G79" s="4" t="n"/>
      <c r="H79" s="6">
        <f>IF(COUNT(C79:G79)&gt;0,ROUND(AVERAGE(C79:G79),1),"")</f>
        <v/>
      </c>
      <c r="I79" s="4" t="n"/>
      <c r="J79" s="4" t="n"/>
      <c r="K79" s="4" t="n"/>
      <c r="L79" s="6">
        <f>IF(COUNT(I79:K79)&gt;0,ROUND(AVERAGE(I79:K79),1),"")</f>
        <v/>
      </c>
      <c r="M79" s="6">
        <f>IF(AND(L79&lt;&gt;"",기준값!$B$9&lt;&gt;""),ROUND((L79-기준값!$B$9)*10,0),"")</f>
        <v/>
      </c>
      <c r="N79" s="4" t="n"/>
      <c r="O79" s="4" t="n"/>
      <c r="P79" s="4" t="n"/>
      <c r="Q79" s="4" t="n"/>
      <c r="R79" s="4" t="n"/>
      <c r="S79" s="4" t="n"/>
      <c r="T79" s="4" t="n"/>
    </row>
    <row r="80">
      <c r="A80" s="3" t="n"/>
      <c r="B80" s="4" t="n"/>
      <c r="C80" s="4" t="n"/>
      <c r="D80" s="4" t="n"/>
      <c r="E80" s="4" t="n"/>
      <c r="F80" s="4" t="n"/>
      <c r="G80" s="4" t="n"/>
      <c r="H80" s="6">
        <f>IF(COUNT(C80:G80)&gt;0,ROUND(AVERAGE(C80:G80),1),"")</f>
        <v/>
      </c>
      <c r="I80" s="4" t="n"/>
      <c r="J80" s="4" t="n"/>
      <c r="K80" s="4" t="n"/>
      <c r="L80" s="6">
        <f>IF(COUNT(I80:K80)&gt;0,ROUND(AVERAGE(I80:K80),1),"")</f>
        <v/>
      </c>
      <c r="M80" s="6">
        <f>IF(AND(L80&lt;&gt;"",기준값!$B$9&lt;&gt;""),ROUND((L80-기준값!$B$9)*10,0),"")</f>
        <v/>
      </c>
      <c r="N80" s="4" t="n"/>
      <c r="O80" s="4" t="n"/>
      <c r="P80" s="4" t="n"/>
      <c r="Q80" s="4" t="n"/>
      <c r="R80" s="4" t="n"/>
      <c r="S80" s="4" t="n"/>
      <c r="T80" s="4" t="n"/>
    </row>
    <row r="81">
      <c r="A81" s="3" t="n"/>
      <c r="B81" s="4" t="n"/>
      <c r="C81" s="4" t="n"/>
      <c r="D81" s="4" t="n"/>
      <c r="E81" s="4" t="n"/>
      <c r="F81" s="4" t="n"/>
      <c r="G81" s="4" t="n"/>
      <c r="H81" s="6">
        <f>IF(COUNT(C81:G81)&gt;0,ROUND(AVERAGE(C81:G81),1),"")</f>
        <v/>
      </c>
      <c r="I81" s="4" t="n"/>
      <c r="J81" s="4" t="n"/>
      <c r="K81" s="4" t="n"/>
      <c r="L81" s="6">
        <f>IF(COUNT(I81:K81)&gt;0,ROUND(AVERAGE(I81:K81),1),"")</f>
        <v/>
      </c>
      <c r="M81" s="6">
        <f>IF(AND(L81&lt;&gt;"",기준값!$B$9&lt;&gt;""),ROUND((L81-기준값!$B$9)*10,0),"")</f>
        <v/>
      </c>
      <c r="N81" s="4" t="n"/>
      <c r="O81" s="4" t="n"/>
      <c r="P81" s="4" t="n"/>
      <c r="Q81" s="4" t="n"/>
      <c r="R81" s="4" t="n"/>
      <c r="S81" s="4" t="n"/>
      <c r="T81" s="4" t="n"/>
    </row>
    <row r="82">
      <c r="A82" s="3" t="n"/>
      <c r="B82" s="4" t="n"/>
      <c r="C82" s="4" t="n"/>
      <c r="D82" s="4" t="n"/>
      <c r="E82" s="4" t="n"/>
      <c r="F82" s="4" t="n"/>
      <c r="G82" s="4" t="n"/>
      <c r="H82" s="6">
        <f>IF(COUNT(C82:G82)&gt;0,ROUND(AVERAGE(C82:G82),1),"")</f>
        <v/>
      </c>
      <c r="I82" s="4" t="n"/>
      <c r="J82" s="4" t="n"/>
      <c r="K82" s="4" t="n"/>
      <c r="L82" s="6">
        <f>IF(COUNT(I82:K82)&gt;0,ROUND(AVERAGE(I82:K82),1),"")</f>
        <v/>
      </c>
      <c r="M82" s="6">
        <f>IF(AND(L82&lt;&gt;"",기준값!$B$9&lt;&gt;""),ROUND((L82-기준값!$B$9)*10,0),"")</f>
        <v/>
      </c>
      <c r="N82" s="4" t="n"/>
      <c r="O82" s="4" t="n"/>
      <c r="P82" s="4" t="n"/>
      <c r="Q82" s="4" t="n"/>
      <c r="R82" s="4" t="n"/>
      <c r="S82" s="4" t="n"/>
      <c r="T82" s="4" t="n"/>
    </row>
    <row r="83">
      <c r="A83" s="3" t="n"/>
      <c r="B83" s="4" t="n"/>
      <c r="C83" s="4" t="n"/>
      <c r="D83" s="4" t="n"/>
      <c r="E83" s="4" t="n"/>
      <c r="F83" s="4" t="n"/>
      <c r="G83" s="4" t="n"/>
      <c r="H83" s="6">
        <f>IF(COUNT(C83:G83)&gt;0,ROUND(AVERAGE(C83:G83),1),"")</f>
        <v/>
      </c>
      <c r="I83" s="4" t="n"/>
      <c r="J83" s="4" t="n"/>
      <c r="K83" s="4" t="n"/>
      <c r="L83" s="6">
        <f>IF(COUNT(I83:K83)&gt;0,ROUND(AVERAGE(I83:K83),1),"")</f>
        <v/>
      </c>
      <c r="M83" s="6">
        <f>IF(AND(L83&lt;&gt;"",기준값!$B$9&lt;&gt;""),ROUND((L83-기준값!$B$9)*10,0),"")</f>
        <v/>
      </c>
      <c r="N83" s="4" t="n"/>
      <c r="O83" s="4" t="n"/>
      <c r="P83" s="4" t="n"/>
      <c r="Q83" s="4" t="n"/>
      <c r="R83" s="4" t="n"/>
      <c r="S83" s="4" t="n"/>
      <c r="T83" s="4" t="n"/>
    </row>
    <row r="84">
      <c r="A84" s="3" t="n"/>
      <c r="B84" s="4" t="n"/>
      <c r="C84" s="4" t="n"/>
      <c r="D84" s="4" t="n"/>
      <c r="E84" s="4" t="n"/>
      <c r="F84" s="4" t="n"/>
      <c r="G84" s="4" t="n"/>
      <c r="H84" s="6">
        <f>IF(COUNT(C84:G84)&gt;0,ROUND(AVERAGE(C84:G84),1),"")</f>
        <v/>
      </c>
      <c r="I84" s="4" t="n"/>
      <c r="J84" s="4" t="n"/>
      <c r="K84" s="4" t="n"/>
      <c r="L84" s="6">
        <f>IF(COUNT(I84:K84)&gt;0,ROUND(AVERAGE(I84:K84),1),"")</f>
        <v/>
      </c>
      <c r="M84" s="6">
        <f>IF(AND(L84&lt;&gt;"",기준값!$B$9&lt;&gt;""),ROUND((L84-기준값!$B$9)*10,0),"")</f>
        <v/>
      </c>
      <c r="N84" s="4" t="n"/>
      <c r="O84" s="4" t="n"/>
      <c r="P84" s="4" t="n"/>
      <c r="Q84" s="4" t="n"/>
      <c r="R84" s="4" t="n"/>
      <c r="S84" s="4" t="n"/>
      <c r="T84" s="4" t="n"/>
    </row>
    <row r="85">
      <c r="A85" s="3" t="n"/>
      <c r="B85" s="4" t="n"/>
      <c r="C85" s="4" t="n"/>
      <c r="D85" s="4" t="n"/>
      <c r="E85" s="4" t="n"/>
      <c r="F85" s="4" t="n"/>
      <c r="G85" s="4" t="n"/>
      <c r="H85" s="6">
        <f>IF(COUNT(C85:G85)&gt;0,ROUND(AVERAGE(C85:G85),1),"")</f>
        <v/>
      </c>
      <c r="I85" s="4" t="n"/>
      <c r="J85" s="4" t="n"/>
      <c r="K85" s="4" t="n"/>
      <c r="L85" s="6">
        <f>IF(COUNT(I85:K85)&gt;0,ROUND(AVERAGE(I85:K85),1),"")</f>
        <v/>
      </c>
      <c r="M85" s="6">
        <f>IF(AND(L85&lt;&gt;"",기준값!$B$9&lt;&gt;""),ROUND((L85-기준값!$B$9)*10,0),"")</f>
        <v/>
      </c>
      <c r="N85" s="4" t="n"/>
      <c r="O85" s="4" t="n"/>
      <c r="P85" s="4" t="n"/>
      <c r="Q85" s="4" t="n"/>
      <c r="R85" s="4" t="n"/>
      <c r="S85" s="4" t="n"/>
      <c r="T85" s="4" t="n"/>
    </row>
    <row r="86">
      <c r="A86" s="3" t="n"/>
      <c r="B86" s="4" t="n"/>
      <c r="C86" s="4" t="n"/>
      <c r="D86" s="4" t="n"/>
      <c r="E86" s="4" t="n"/>
      <c r="F86" s="4" t="n"/>
      <c r="G86" s="4" t="n"/>
      <c r="H86" s="6">
        <f>IF(COUNT(C86:G86)&gt;0,ROUND(AVERAGE(C86:G86),1),"")</f>
        <v/>
      </c>
      <c r="I86" s="4" t="n"/>
      <c r="J86" s="4" t="n"/>
      <c r="K86" s="4" t="n"/>
      <c r="L86" s="6">
        <f>IF(COUNT(I86:K86)&gt;0,ROUND(AVERAGE(I86:K86),1),"")</f>
        <v/>
      </c>
      <c r="M86" s="6">
        <f>IF(AND(L86&lt;&gt;"",기준값!$B$9&lt;&gt;""),ROUND((L86-기준값!$B$9)*10,0),"")</f>
        <v/>
      </c>
      <c r="N86" s="4" t="n"/>
      <c r="O86" s="4" t="n"/>
      <c r="P86" s="4" t="n"/>
      <c r="Q86" s="4" t="n"/>
      <c r="R86" s="4" t="n"/>
      <c r="S86" s="4" t="n"/>
      <c r="T86" s="4" t="n"/>
    </row>
    <row r="87">
      <c r="A87" s="3" t="n"/>
      <c r="B87" s="4" t="n"/>
      <c r="C87" s="4" t="n"/>
      <c r="D87" s="4" t="n"/>
      <c r="E87" s="4" t="n"/>
      <c r="F87" s="4" t="n"/>
      <c r="G87" s="4" t="n"/>
      <c r="H87" s="6">
        <f>IF(COUNT(C87:G87)&gt;0,ROUND(AVERAGE(C87:G87),1),"")</f>
        <v/>
      </c>
      <c r="I87" s="4" t="n"/>
      <c r="J87" s="4" t="n"/>
      <c r="K87" s="4" t="n"/>
      <c r="L87" s="6">
        <f>IF(COUNT(I87:K87)&gt;0,ROUND(AVERAGE(I87:K87),1),"")</f>
        <v/>
      </c>
      <c r="M87" s="6">
        <f>IF(AND(L87&lt;&gt;"",기준값!$B$9&lt;&gt;""),ROUND((L87-기준값!$B$9)*10,0),"")</f>
        <v/>
      </c>
      <c r="N87" s="4" t="n"/>
      <c r="O87" s="4" t="n"/>
      <c r="P87" s="4" t="n"/>
      <c r="Q87" s="4" t="n"/>
      <c r="R87" s="4" t="n"/>
      <c r="S87" s="4" t="n"/>
      <c r="T87" s="4" t="n"/>
    </row>
    <row r="88">
      <c r="A88" s="3" t="n"/>
      <c r="B88" s="4" t="n"/>
      <c r="C88" s="4" t="n"/>
      <c r="D88" s="4" t="n"/>
      <c r="E88" s="4" t="n"/>
      <c r="F88" s="4" t="n"/>
      <c r="G88" s="4" t="n"/>
      <c r="H88" s="6">
        <f>IF(COUNT(C88:G88)&gt;0,ROUND(AVERAGE(C88:G88),1),"")</f>
        <v/>
      </c>
      <c r="I88" s="4" t="n"/>
      <c r="J88" s="4" t="n"/>
      <c r="K88" s="4" t="n"/>
      <c r="L88" s="6">
        <f>IF(COUNT(I88:K88)&gt;0,ROUND(AVERAGE(I88:K88),1),"")</f>
        <v/>
      </c>
      <c r="M88" s="6">
        <f>IF(AND(L88&lt;&gt;"",기준값!$B$9&lt;&gt;""),ROUND((L88-기준값!$B$9)*10,0),"")</f>
        <v/>
      </c>
      <c r="N88" s="4" t="n"/>
      <c r="O88" s="4" t="n"/>
      <c r="P88" s="4" t="n"/>
      <c r="Q88" s="4" t="n"/>
      <c r="R88" s="4" t="n"/>
      <c r="S88" s="4" t="n"/>
      <c r="T88" s="4" t="n"/>
    </row>
    <row r="89">
      <c r="A89" s="3" t="n"/>
      <c r="B89" s="4" t="n"/>
      <c r="C89" s="4" t="n"/>
      <c r="D89" s="4" t="n"/>
      <c r="E89" s="4" t="n"/>
      <c r="F89" s="4" t="n"/>
      <c r="G89" s="4" t="n"/>
      <c r="H89" s="6">
        <f>IF(COUNT(C89:G89)&gt;0,ROUND(AVERAGE(C89:G89),1),"")</f>
        <v/>
      </c>
      <c r="I89" s="4" t="n"/>
      <c r="J89" s="4" t="n"/>
      <c r="K89" s="4" t="n"/>
      <c r="L89" s="6">
        <f>IF(COUNT(I89:K89)&gt;0,ROUND(AVERAGE(I89:K89),1),"")</f>
        <v/>
      </c>
      <c r="M89" s="6">
        <f>IF(AND(L89&lt;&gt;"",기준값!$B$9&lt;&gt;""),ROUND((L89-기준값!$B$9)*10,0),"")</f>
        <v/>
      </c>
      <c r="N89" s="4" t="n"/>
      <c r="O89" s="4" t="n"/>
      <c r="P89" s="4" t="n"/>
      <c r="Q89" s="4" t="n"/>
      <c r="R89" s="4" t="n"/>
      <c r="S89" s="4" t="n"/>
      <c r="T89" s="4" t="n"/>
    </row>
    <row r="90">
      <c r="A90" s="3" t="n"/>
      <c r="B90" s="4" t="n"/>
      <c r="C90" s="4" t="n"/>
      <c r="D90" s="4" t="n"/>
      <c r="E90" s="4" t="n"/>
      <c r="F90" s="4" t="n"/>
      <c r="G90" s="4" t="n"/>
      <c r="H90" s="6">
        <f>IF(COUNT(C90:G90)&gt;0,ROUND(AVERAGE(C90:G90),1),"")</f>
        <v/>
      </c>
      <c r="I90" s="4" t="n"/>
      <c r="J90" s="4" t="n"/>
      <c r="K90" s="4" t="n"/>
      <c r="L90" s="6">
        <f>IF(COUNT(I90:K90)&gt;0,ROUND(AVERAGE(I90:K90),1),"")</f>
        <v/>
      </c>
      <c r="M90" s="6">
        <f>IF(AND(L90&lt;&gt;"",기준값!$B$9&lt;&gt;""),ROUND((L90-기준값!$B$9)*10,0),"")</f>
        <v/>
      </c>
      <c r="N90" s="4" t="n"/>
      <c r="O90" s="4" t="n"/>
      <c r="P90" s="4" t="n"/>
      <c r="Q90" s="4" t="n"/>
      <c r="R90" s="4" t="n"/>
      <c r="S90" s="4" t="n"/>
      <c r="T90" s="4" t="n"/>
    </row>
    <row r="91">
      <c r="A91" s="3" t="n"/>
      <c r="B91" s="4" t="n"/>
      <c r="C91" s="4" t="n"/>
      <c r="D91" s="4" t="n"/>
      <c r="E91" s="4" t="n"/>
      <c r="F91" s="4" t="n"/>
      <c r="G91" s="4" t="n"/>
      <c r="H91" s="6">
        <f>IF(COUNT(C91:G91)&gt;0,ROUND(AVERAGE(C91:G91),1),"")</f>
        <v/>
      </c>
      <c r="I91" s="4" t="n"/>
      <c r="J91" s="4" t="n"/>
      <c r="K91" s="4" t="n"/>
      <c r="L91" s="6">
        <f>IF(COUNT(I91:K91)&gt;0,ROUND(AVERAGE(I91:K91),1),"")</f>
        <v/>
      </c>
      <c r="M91" s="6">
        <f>IF(AND(L91&lt;&gt;"",기준값!$B$9&lt;&gt;""),ROUND((L91-기준값!$B$9)*10,0),"")</f>
        <v/>
      </c>
      <c r="N91" s="4" t="n"/>
      <c r="O91" s="4" t="n"/>
      <c r="P91" s="4" t="n"/>
      <c r="Q91" s="4" t="n"/>
      <c r="R91" s="4" t="n"/>
      <c r="S91" s="4" t="n"/>
      <c r="T91" s="4" t="n"/>
    </row>
    <row r="92">
      <c r="A92" s="3" t="n"/>
      <c r="B92" s="4" t="n"/>
      <c r="C92" s="4" t="n"/>
      <c r="D92" s="4" t="n"/>
      <c r="E92" s="4" t="n"/>
      <c r="F92" s="4" t="n"/>
      <c r="G92" s="4" t="n"/>
      <c r="H92" s="6">
        <f>IF(COUNT(C92:G92)&gt;0,ROUND(AVERAGE(C92:G92),1),"")</f>
        <v/>
      </c>
      <c r="I92" s="4" t="n"/>
      <c r="J92" s="4" t="n"/>
      <c r="K92" s="4" t="n"/>
      <c r="L92" s="6">
        <f>IF(COUNT(I92:K92)&gt;0,ROUND(AVERAGE(I92:K92),1),"")</f>
        <v/>
      </c>
      <c r="M92" s="6">
        <f>IF(AND(L92&lt;&gt;"",기준값!$B$9&lt;&gt;""),ROUND((L92-기준값!$B$9)*10,0),"")</f>
        <v/>
      </c>
      <c r="N92" s="4" t="n"/>
      <c r="O92" s="4" t="n"/>
      <c r="P92" s="4" t="n"/>
      <c r="Q92" s="4" t="n"/>
      <c r="R92" s="4" t="n"/>
      <c r="S92" s="4" t="n"/>
      <c r="T92" s="4" t="n"/>
    </row>
    <row r="93">
      <c r="A93" s="3" t="n"/>
      <c r="B93" s="4" t="n"/>
      <c r="C93" s="4" t="n"/>
      <c r="D93" s="4" t="n"/>
      <c r="E93" s="4" t="n"/>
      <c r="F93" s="4" t="n"/>
      <c r="G93" s="4" t="n"/>
      <c r="H93" s="6">
        <f>IF(COUNT(C93:G93)&gt;0,ROUND(AVERAGE(C93:G93),1),"")</f>
        <v/>
      </c>
      <c r="I93" s="4" t="n"/>
      <c r="J93" s="4" t="n"/>
      <c r="K93" s="4" t="n"/>
      <c r="L93" s="6">
        <f>IF(COUNT(I93:K93)&gt;0,ROUND(AVERAGE(I93:K93),1),"")</f>
        <v/>
      </c>
      <c r="M93" s="6">
        <f>IF(AND(L93&lt;&gt;"",기준값!$B$9&lt;&gt;""),ROUND((L93-기준값!$B$9)*10,0),"")</f>
        <v/>
      </c>
      <c r="N93" s="4" t="n"/>
      <c r="O93" s="4" t="n"/>
      <c r="P93" s="4" t="n"/>
      <c r="Q93" s="4" t="n"/>
      <c r="R93" s="4" t="n"/>
      <c r="S93" s="4" t="n"/>
      <c r="T93" s="4" t="n"/>
    </row>
    <row r="94">
      <c r="A94" s="3" t="n"/>
      <c r="B94" s="4" t="n"/>
      <c r="C94" s="4" t="n"/>
      <c r="D94" s="4" t="n"/>
      <c r="E94" s="4" t="n"/>
      <c r="F94" s="4" t="n"/>
      <c r="G94" s="4" t="n"/>
      <c r="H94" s="6">
        <f>IF(COUNT(C94:G94)&gt;0,ROUND(AVERAGE(C94:G94),1),"")</f>
        <v/>
      </c>
      <c r="I94" s="4" t="n"/>
      <c r="J94" s="4" t="n"/>
      <c r="K94" s="4" t="n"/>
      <c r="L94" s="6">
        <f>IF(COUNT(I94:K94)&gt;0,ROUND(AVERAGE(I94:K94),1),"")</f>
        <v/>
      </c>
      <c r="M94" s="6">
        <f>IF(AND(L94&lt;&gt;"",기준값!$B$9&lt;&gt;""),ROUND((L94-기준값!$B$9)*10,0),"")</f>
        <v/>
      </c>
      <c r="N94" s="4" t="n"/>
      <c r="O94" s="4" t="n"/>
      <c r="P94" s="4" t="n"/>
      <c r="Q94" s="4" t="n"/>
      <c r="R94" s="4" t="n"/>
      <c r="S94" s="4" t="n"/>
      <c r="T94" s="4" t="n"/>
    </row>
    <row r="95">
      <c r="A95" s="3" t="n"/>
      <c r="B95" s="4" t="n"/>
      <c r="C95" s="4" t="n"/>
      <c r="D95" s="4" t="n"/>
      <c r="E95" s="4" t="n"/>
      <c r="F95" s="4" t="n"/>
      <c r="G95" s="4" t="n"/>
      <c r="H95" s="6">
        <f>IF(COUNT(C95:G95)&gt;0,ROUND(AVERAGE(C95:G95),1),"")</f>
        <v/>
      </c>
      <c r="I95" s="4" t="n"/>
      <c r="J95" s="4" t="n"/>
      <c r="K95" s="4" t="n"/>
      <c r="L95" s="6">
        <f>IF(COUNT(I95:K95)&gt;0,ROUND(AVERAGE(I95:K95),1),"")</f>
        <v/>
      </c>
      <c r="M95" s="6">
        <f>IF(AND(L95&lt;&gt;"",기준값!$B$9&lt;&gt;""),ROUND((L95-기준값!$B$9)*10,0),"")</f>
        <v/>
      </c>
      <c r="N95" s="4" t="n"/>
      <c r="O95" s="4" t="n"/>
      <c r="P95" s="4" t="n"/>
      <c r="Q95" s="4" t="n"/>
      <c r="R95" s="4" t="n"/>
      <c r="S95" s="4" t="n"/>
      <c r="T95" s="4" t="n"/>
    </row>
    <row r="96">
      <c r="A96" s="3" t="n"/>
      <c r="B96" s="4" t="n"/>
      <c r="C96" s="4" t="n"/>
      <c r="D96" s="4" t="n"/>
      <c r="E96" s="4" t="n"/>
      <c r="F96" s="4" t="n"/>
      <c r="G96" s="4" t="n"/>
      <c r="H96" s="6">
        <f>IF(COUNT(C96:G96)&gt;0,ROUND(AVERAGE(C96:G96),1),"")</f>
        <v/>
      </c>
      <c r="I96" s="4" t="n"/>
      <c r="J96" s="4" t="n"/>
      <c r="K96" s="4" t="n"/>
      <c r="L96" s="6">
        <f>IF(COUNT(I96:K96)&gt;0,ROUND(AVERAGE(I96:K96),1),"")</f>
        <v/>
      </c>
      <c r="M96" s="6">
        <f>IF(AND(L96&lt;&gt;"",기준값!$B$9&lt;&gt;""),ROUND((L96-기준값!$B$9)*10,0),"")</f>
        <v/>
      </c>
      <c r="N96" s="4" t="n"/>
      <c r="O96" s="4" t="n"/>
      <c r="P96" s="4" t="n"/>
      <c r="Q96" s="4" t="n"/>
      <c r="R96" s="4" t="n"/>
      <c r="S96" s="4" t="n"/>
      <c r="T96" s="4" t="n"/>
    </row>
    <row r="97">
      <c r="A97" s="3" t="n"/>
      <c r="B97" s="4" t="n"/>
      <c r="C97" s="4" t="n"/>
      <c r="D97" s="4" t="n"/>
      <c r="E97" s="4" t="n"/>
      <c r="F97" s="4" t="n"/>
      <c r="G97" s="4" t="n"/>
      <c r="H97" s="6">
        <f>IF(COUNT(C97:G97)&gt;0,ROUND(AVERAGE(C97:G97),1),"")</f>
        <v/>
      </c>
      <c r="I97" s="4" t="n"/>
      <c r="J97" s="4" t="n"/>
      <c r="K97" s="4" t="n"/>
      <c r="L97" s="6">
        <f>IF(COUNT(I97:K97)&gt;0,ROUND(AVERAGE(I97:K97),1),"")</f>
        <v/>
      </c>
      <c r="M97" s="6">
        <f>IF(AND(L97&lt;&gt;"",기준값!$B$9&lt;&gt;""),ROUND((L97-기준값!$B$9)*10,0),"")</f>
        <v/>
      </c>
      <c r="N97" s="4" t="n"/>
      <c r="O97" s="4" t="n"/>
      <c r="P97" s="4" t="n"/>
      <c r="Q97" s="4" t="n"/>
      <c r="R97" s="4" t="n"/>
      <c r="S97" s="4" t="n"/>
      <c r="T97" s="4" t="n"/>
    </row>
    <row r="98">
      <c r="A98" s="3" t="n"/>
      <c r="B98" s="4" t="n"/>
      <c r="C98" s="4" t="n"/>
      <c r="D98" s="4" t="n"/>
      <c r="E98" s="4" t="n"/>
      <c r="F98" s="4" t="n"/>
      <c r="G98" s="4" t="n"/>
      <c r="H98" s="6">
        <f>IF(COUNT(C98:G98)&gt;0,ROUND(AVERAGE(C98:G98),1),"")</f>
        <v/>
      </c>
      <c r="I98" s="4" t="n"/>
      <c r="J98" s="4" t="n"/>
      <c r="K98" s="4" t="n"/>
      <c r="L98" s="6">
        <f>IF(COUNT(I98:K98)&gt;0,ROUND(AVERAGE(I98:K98),1),"")</f>
        <v/>
      </c>
      <c r="M98" s="6">
        <f>IF(AND(L98&lt;&gt;"",기준값!$B$9&lt;&gt;""),ROUND((L98-기준값!$B$9)*10,0),"")</f>
        <v/>
      </c>
      <c r="N98" s="4" t="n"/>
      <c r="O98" s="4" t="n"/>
      <c r="P98" s="4" t="n"/>
      <c r="Q98" s="4" t="n"/>
      <c r="R98" s="4" t="n"/>
      <c r="S98" s="4" t="n"/>
      <c r="T98" s="4" t="n"/>
    </row>
    <row r="99">
      <c r="A99" s="3" t="n"/>
      <c r="B99" s="4" t="n"/>
      <c r="C99" s="4" t="n"/>
      <c r="D99" s="4" t="n"/>
      <c r="E99" s="4" t="n"/>
      <c r="F99" s="4" t="n"/>
      <c r="G99" s="4" t="n"/>
      <c r="H99" s="6">
        <f>IF(COUNT(C99:G99)&gt;0,ROUND(AVERAGE(C99:G99),1),"")</f>
        <v/>
      </c>
      <c r="I99" s="4" t="n"/>
      <c r="J99" s="4" t="n"/>
      <c r="K99" s="4" t="n"/>
      <c r="L99" s="6">
        <f>IF(COUNT(I99:K99)&gt;0,ROUND(AVERAGE(I99:K99),1),"")</f>
        <v/>
      </c>
      <c r="M99" s="6">
        <f>IF(AND(L99&lt;&gt;"",기준값!$B$9&lt;&gt;""),ROUND((L99-기준값!$B$9)*10,0),"")</f>
        <v/>
      </c>
      <c r="N99" s="4" t="n"/>
      <c r="O99" s="4" t="n"/>
      <c r="P99" s="4" t="n"/>
      <c r="Q99" s="4" t="n"/>
      <c r="R99" s="4" t="n"/>
      <c r="S99" s="4" t="n"/>
      <c r="T99" s="4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6">
        <f>IF(COUNT(C100:G100)&gt;0,ROUND(AVERAGE(C100:G100),1),"")</f>
        <v/>
      </c>
      <c r="I100" s="4" t="n"/>
      <c r="J100" s="4" t="n"/>
      <c r="K100" s="4" t="n"/>
      <c r="L100" s="6">
        <f>IF(COUNT(I100:K100)&gt;0,ROUND(AVERAGE(I100:K100),1),"")</f>
        <v/>
      </c>
      <c r="M100" s="6">
        <f>IF(AND(L100&lt;&gt;"",기준값!$B$9&lt;&gt;""),ROUND((L100-기준값!$B$9)*10,0),"")</f>
        <v/>
      </c>
      <c r="N100" s="4" t="n"/>
      <c r="O100" s="4" t="n"/>
      <c r="P100" s="4" t="n"/>
      <c r="Q100" s="4" t="n"/>
      <c r="R100" s="4" t="n"/>
      <c r="S100" s="4" t="n"/>
      <c r="T100" s="4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6">
        <f>IF(COUNT(C101:G101)&gt;0,ROUND(AVERAGE(C101:G101),1),"")</f>
        <v/>
      </c>
      <c r="I101" s="4" t="n"/>
      <c r="J101" s="4" t="n"/>
      <c r="K101" s="4" t="n"/>
      <c r="L101" s="6">
        <f>IF(COUNT(I101:K101)&gt;0,ROUND(AVERAGE(I101:K101),1),"")</f>
        <v/>
      </c>
      <c r="M101" s="6">
        <f>IF(AND(L101&lt;&gt;"",기준값!$B$9&lt;&gt;""),ROUND((L101-기준값!$B$9)*10,0),"")</f>
        <v/>
      </c>
      <c r="N101" s="4" t="n"/>
      <c r="O101" s="4" t="n"/>
      <c r="P101" s="4" t="n"/>
      <c r="Q101" s="4" t="n"/>
      <c r="R101" s="4" t="n"/>
      <c r="S101" s="4" t="n"/>
      <c r="T101" s="4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6">
        <f>IF(COUNT(C102:G102)&gt;0,ROUND(AVERAGE(C102:G102),1),"")</f>
        <v/>
      </c>
      <c r="I102" s="4" t="n"/>
      <c r="J102" s="4" t="n"/>
      <c r="K102" s="4" t="n"/>
      <c r="L102" s="6">
        <f>IF(COUNT(I102:K102)&gt;0,ROUND(AVERAGE(I102:K102),1),"")</f>
        <v/>
      </c>
      <c r="M102" s="6">
        <f>IF(AND(L102&lt;&gt;"",기준값!$B$9&lt;&gt;""),ROUND((L102-기준값!$B$9)*10,0),"")</f>
        <v/>
      </c>
      <c r="N102" s="4" t="n"/>
      <c r="O102" s="4" t="n"/>
      <c r="P102" s="4" t="n"/>
      <c r="Q102" s="4" t="n"/>
      <c r="R102" s="4" t="n"/>
      <c r="S102" s="4" t="n"/>
      <c r="T102" s="4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6">
        <f>IF(COUNT(C103:G103)&gt;0,ROUND(AVERAGE(C103:G103),1),"")</f>
        <v/>
      </c>
      <c r="I103" s="4" t="n"/>
      <c r="J103" s="4" t="n"/>
      <c r="K103" s="4" t="n"/>
      <c r="L103" s="6">
        <f>IF(COUNT(I103:K103)&gt;0,ROUND(AVERAGE(I103:K103),1),"")</f>
        <v/>
      </c>
      <c r="M103" s="6">
        <f>IF(AND(L103&lt;&gt;"",기준값!$B$9&lt;&gt;""),ROUND((L103-기준값!$B$9)*10,0),"")</f>
        <v/>
      </c>
      <c r="N103" s="4" t="n"/>
      <c r="O103" s="4" t="n"/>
      <c r="P103" s="4" t="n"/>
      <c r="Q103" s="4" t="n"/>
      <c r="R103" s="4" t="n"/>
      <c r="S103" s="4" t="n"/>
      <c r="T103" s="4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6">
        <f>IF(COUNT(C104:G104)&gt;0,ROUND(AVERAGE(C104:G104),1),"")</f>
        <v/>
      </c>
      <c r="I104" s="4" t="n"/>
      <c r="J104" s="4" t="n"/>
      <c r="K104" s="4" t="n"/>
      <c r="L104" s="6">
        <f>IF(COUNT(I104:K104)&gt;0,ROUND(AVERAGE(I104:K104),1),"")</f>
        <v/>
      </c>
      <c r="M104" s="6">
        <f>IF(AND(L104&lt;&gt;"",기준값!$B$9&lt;&gt;""),ROUND((L104-기준값!$B$9)*10,0),"")</f>
        <v/>
      </c>
      <c r="N104" s="4" t="n"/>
      <c r="O104" s="4" t="n"/>
      <c r="P104" s="4" t="n"/>
      <c r="Q104" s="4" t="n"/>
      <c r="R104" s="4" t="n"/>
      <c r="S104" s="4" t="n"/>
      <c r="T104" s="4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6">
        <f>IF(COUNT(C105:G105)&gt;0,ROUND(AVERAGE(C105:G105),1),"")</f>
        <v/>
      </c>
      <c r="I105" s="4" t="n"/>
      <c r="J105" s="4" t="n"/>
      <c r="K105" s="4" t="n"/>
      <c r="L105" s="6">
        <f>IF(COUNT(I105:K105)&gt;0,ROUND(AVERAGE(I105:K105),1),"")</f>
        <v/>
      </c>
      <c r="M105" s="6">
        <f>IF(AND(L105&lt;&gt;"",기준값!$B$9&lt;&gt;""),ROUND((L105-기준값!$B$9)*10,0),"")</f>
        <v/>
      </c>
      <c r="N105" s="4" t="n"/>
      <c r="O105" s="4" t="n"/>
      <c r="P105" s="4" t="n"/>
      <c r="Q105" s="4" t="n"/>
      <c r="R105" s="4" t="n"/>
      <c r="S105" s="4" t="n"/>
      <c r="T105" s="4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6">
        <f>IF(COUNT(C106:G106)&gt;0,ROUND(AVERAGE(C106:G106),1),"")</f>
        <v/>
      </c>
      <c r="I106" s="4" t="n"/>
      <c r="J106" s="4" t="n"/>
      <c r="K106" s="4" t="n"/>
      <c r="L106" s="6">
        <f>IF(COUNT(I106:K106)&gt;0,ROUND(AVERAGE(I106:K106),1),"")</f>
        <v/>
      </c>
      <c r="M106" s="6">
        <f>IF(AND(L106&lt;&gt;"",기준값!$B$9&lt;&gt;""),ROUND((L106-기준값!$B$9)*10,0),"")</f>
        <v/>
      </c>
      <c r="N106" s="4" t="n"/>
      <c r="O106" s="4" t="n"/>
      <c r="P106" s="4" t="n"/>
      <c r="Q106" s="4" t="n"/>
      <c r="R106" s="4" t="n"/>
      <c r="S106" s="4" t="n"/>
      <c r="T106" s="4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6">
        <f>IF(COUNT(C107:G107)&gt;0,ROUND(AVERAGE(C107:G107),1),"")</f>
        <v/>
      </c>
      <c r="I107" s="4" t="n"/>
      <c r="J107" s="4" t="n"/>
      <c r="K107" s="4" t="n"/>
      <c r="L107" s="6">
        <f>IF(COUNT(I107:K107)&gt;0,ROUND(AVERAGE(I107:K107),1),"")</f>
        <v/>
      </c>
      <c r="M107" s="6">
        <f>IF(AND(L107&lt;&gt;"",기준값!$B$9&lt;&gt;""),ROUND((L107-기준값!$B$9)*10,0),"")</f>
        <v/>
      </c>
      <c r="N107" s="4" t="n"/>
      <c r="O107" s="4" t="n"/>
      <c r="P107" s="4" t="n"/>
      <c r="Q107" s="4" t="n"/>
      <c r="R107" s="4" t="n"/>
      <c r="S107" s="4" t="n"/>
      <c r="T107" s="4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6">
        <f>IF(COUNT(C108:G108)&gt;0,ROUND(AVERAGE(C108:G108),1),"")</f>
        <v/>
      </c>
      <c r="I108" s="4" t="n"/>
      <c r="J108" s="4" t="n"/>
      <c r="K108" s="4" t="n"/>
      <c r="L108" s="6">
        <f>IF(COUNT(I108:K108)&gt;0,ROUND(AVERAGE(I108:K108),1),"")</f>
        <v/>
      </c>
      <c r="M108" s="6">
        <f>IF(AND(L108&lt;&gt;"",기준값!$B$9&lt;&gt;""),ROUND((L108-기준값!$B$9)*10,0),"")</f>
        <v/>
      </c>
      <c r="N108" s="4" t="n"/>
      <c r="O108" s="4" t="n"/>
      <c r="P108" s="4" t="n"/>
      <c r="Q108" s="4" t="n"/>
      <c r="R108" s="4" t="n"/>
      <c r="S108" s="4" t="n"/>
      <c r="T108" s="4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6">
        <f>IF(COUNT(C109:G109)&gt;0,ROUND(AVERAGE(C109:G109),1),"")</f>
        <v/>
      </c>
      <c r="I109" s="4" t="n"/>
      <c r="J109" s="4" t="n"/>
      <c r="K109" s="4" t="n"/>
      <c r="L109" s="6">
        <f>IF(COUNT(I109:K109)&gt;0,ROUND(AVERAGE(I109:K109),1),"")</f>
        <v/>
      </c>
      <c r="M109" s="6">
        <f>IF(AND(L109&lt;&gt;"",기준값!$B$9&lt;&gt;""),ROUND((L109-기준값!$B$9)*10,0),"")</f>
        <v/>
      </c>
      <c r="N109" s="4" t="n"/>
      <c r="O109" s="4" t="n"/>
      <c r="P109" s="4" t="n"/>
      <c r="Q109" s="4" t="n"/>
      <c r="R109" s="4" t="n"/>
      <c r="S109" s="4" t="n"/>
      <c r="T109" s="4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6">
        <f>IF(COUNT(C110:G110)&gt;0,ROUND(AVERAGE(C110:G110),1),"")</f>
        <v/>
      </c>
      <c r="I110" s="4" t="n"/>
      <c r="J110" s="4" t="n"/>
      <c r="K110" s="4" t="n"/>
      <c r="L110" s="6">
        <f>IF(COUNT(I110:K110)&gt;0,ROUND(AVERAGE(I110:K110),1),"")</f>
        <v/>
      </c>
      <c r="M110" s="6">
        <f>IF(AND(L110&lt;&gt;"",기준값!$B$9&lt;&gt;""),ROUND((L110-기준값!$B$9)*10,0),"")</f>
        <v/>
      </c>
      <c r="N110" s="4" t="n"/>
      <c r="O110" s="4" t="n"/>
      <c r="P110" s="4" t="n"/>
      <c r="Q110" s="4" t="n"/>
      <c r="R110" s="4" t="n"/>
      <c r="S110" s="4" t="n"/>
      <c r="T110" s="4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6">
        <f>IF(COUNT(C111:G111)&gt;0,ROUND(AVERAGE(C111:G111),1),"")</f>
        <v/>
      </c>
      <c r="I111" s="4" t="n"/>
      <c r="J111" s="4" t="n"/>
      <c r="K111" s="4" t="n"/>
      <c r="L111" s="6">
        <f>IF(COUNT(I111:K111)&gt;0,ROUND(AVERAGE(I111:K111),1),"")</f>
        <v/>
      </c>
      <c r="M111" s="6">
        <f>IF(AND(L111&lt;&gt;"",기준값!$B$9&lt;&gt;""),ROUND((L111-기준값!$B$9)*10,0),"")</f>
        <v/>
      </c>
      <c r="N111" s="4" t="n"/>
      <c r="O111" s="4" t="n"/>
      <c r="P111" s="4" t="n"/>
      <c r="Q111" s="4" t="n"/>
      <c r="R111" s="4" t="n"/>
      <c r="S111" s="4" t="n"/>
      <c r="T111" s="4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6">
        <f>IF(COUNT(C112:G112)&gt;0,ROUND(AVERAGE(C112:G112),1),"")</f>
        <v/>
      </c>
      <c r="I112" s="4" t="n"/>
      <c r="J112" s="4" t="n"/>
      <c r="K112" s="4" t="n"/>
      <c r="L112" s="6">
        <f>IF(COUNT(I112:K112)&gt;0,ROUND(AVERAGE(I112:K112),1),"")</f>
        <v/>
      </c>
      <c r="M112" s="6">
        <f>IF(AND(L112&lt;&gt;"",기준값!$B$9&lt;&gt;""),ROUND((L112-기준값!$B$9)*10,0),"")</f>
        <v/>
      </c>
      <c r="N112" s="4" t="n"/>
      <c r="O112" s="4" t="n"/>
      <c r="P112" s="4" t="n"/>
      <c r="Q112" s="4" t="n"/>
      <c r="R112" s="4" t="n"/>
      <c r="S112" s="4" t="n"/>
      <c r="T112" s="4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6">
        <f>IF(COUNT(C113:G113)&gt;0,ROUND(AVERAGE(C113:G113),1),"")</f>
        <v/>
      </c>
      <c r="I113" s="4" t="n"/>
      <c r="J113" s="4" t="n"/>
      <c r="K113" s="4" t="n"/>
      <c r="L113" s="6">
        <f>IF(COUNT(I113:K113)&gt;0,ROUND(AVERAGE(I113:K113),1),"")</f>
        <v/>
      </c>
      <c r="M113" s="6">
        <f>IF(AND(L113&lt;&gt;"",기준값!$B$9&lt;&gt;""),ROUND((L113-기준값!$B$9)*10,0),"")</f>
        <v/>
      </c>
      <c r="N113" s="4" t="n"/>
      <c r="O113" s="4" t="n"/>
      <c r="P113" s="4" t="n"/>
      <c r="Q113" s="4" t="n"/>
      <c r="R113" s="4" t="n"/>
      <c r="S113" s="4" t="n"/>
      <c r="T113" s="4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6">
        <f>IF(COUNT(C114:G114)&gt;0,ROUND(AVERAGE(C114:G114),1),"")</f>
        <v/>
      </c>
      <c r="I114" s="4" t="n"/>
      <c r="J114" s="4" t="n"/>
      <c r="K114" s="4" t="n"/>
      <c r="L114" s="6">
        <f>IF(COUNT(I114:K114)&gt;0,ROUND(AVERAGE(I114:K114),1),"")</f>
        <v/>
      </c>
      <c r="M114" s="6">
        <f>IF(AND(L114&lt;&gt;"",기준값!$B$9&lt;&gt;""),ROUND((L114-기준값!$B$9)*10,0),"")</f>
        <v/>
      </c>
      <c r="N114" s="4" t="n"/>
      <c r="O114" s="4" t="n"/>
      <c r="P114" s="4" t="n"/>
      <c r="Q114" s="4" t="n"/>
      <c r="R114" s="4" t="n"/>
      <c r="S114" s="4" t="n"/>
      <c r="T114" s="4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6">
        <f>IF(COUNT(C115:G115)&gt;0,ROUND(AVERAGE(C115:G115),1),"")</f>
        <v/>
      </c>
      <c r="I115" s="4" t="n"/>
      <c r="J115" s="4" t="n"/>
      <c r="K115" s="4" t="n"/>
      <c r="L115" s="6">
        <f>IF(COUNT(I115:K115)&gt;0,ROUND(AVERAGE(I115:K115),1),"")</f>
        <v/>
      </c>
      <c r="M115" s="6">
        <f>IF(AND(L115&lt;&gt;"",기준값!$B$9&lt;&gt;""),ROUND((L115-기준값!$B$9)*10,0),"")</f>
        <v/>
      </c>
      <c r="N115" s="4" t="n"/>
      <c r="O115" s="4" t="n"/>
      <c r="P115" s="4" t="n"/>
      <c r="Q115" s="4" t="n"/>
      <c r="R115" s="4" t="n"/>
      <c r="S115" s="4" t="n"/>
      <c r="T115" s="4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6">
        <f>IF(COUNT(C116:G116)&gt;0,ROUND(AVERAGE(C116:G116),1),"")</f>
        <v/>
      </c>
      <c r="I116" s="4" t="n"/>
      <c r="J116" s="4" t="n"/>
      <c r="K116" s="4" t="n"/>
      <c r="L116" s="6">
        <f>IF(COUNT(I116:K116)&gt;0,ROUND(AVERAGE(I116:K116),1),"")</f>
        <v/>
      </c>
      <c r="M116" s="6">
        <f>IF(AND(L116&lt;&gt;"",기준값!$B$9&lt;&gt;""),ROUND((L116-기준값!$B$9)*10,0),"")</f>
        <v/>
      </c>
      <c r="N116" s="4" t="n"/>
      <c r="O116" s="4" t="n"/>
      <c r="P116" s="4" t="n"/>
      <c r="Q116" s="4" t="n"/>
      <c r="R116" s="4" t="n"/>
      <c r="S116" s="4" t="n"/>
      <c r="T116" s="4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6">
        <f>IF(COUNT(C117:G117)&gt;0,ROUND(AVERAGE(C117:G117),1),"")</f>
        <v/>
      </c>
      <c r="I117" s="4" t="n"/>
      <c r="J117" s="4" t="n"/>
      <c r="K117" s="4" t="n"/>
      <c r="L117" s="6">
        <f>IF(COUNT(I117:K117)&gt;0,ROUND(AVERAGE(I117:K117),1),"")</f>
        <v/>
      </c>
      <c r="M117" s="6">
        <f>IF(AND(L117&lt;&gt;"",기준값!$B$9&lt;&gt;""),ROUND((L117-기준값!$B$9)*10,0),"")</f>
        <v/>
      </c>
      <c r="N117" s="4" t="n"/>
      <c r="O117" s="4" t="n"/>
      <c r="P117" s="4" t="n"/>
      <c r="Q117" s="4" t="n"/>
      <c r="R117" s="4" t="n"/>
      <c r="S117" s="4" t="n"/>
      <c r="T117" s="4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6">
        <f>IF(COUNT(C118:G118)&gt;0,ROUND(AVERAGE(C118:G118),1),"")</f>
        <v/>
      </c>
      <c r="I118" s="4" t="n"/>
      <c r="J118" s="4" t="n"/>
      <c r="K118" s="4" t="n"/>
      <c r="L118" s="6">
        <f>IF(COUNT(I118:K118)&gt;0,ROUND(AVERAGE(I118:K118),1),"")</f>
        <v/>
      </c>
      <c r="M118" s="6">
        <f>IF(AND(L118&lt;&gt;"",기준값!$B$9&lt;&gt;""),ROUND((L118-기준값!$B$9)*10,0),"")</f>
        <v/>
      </c>
      <c r="N118" s="4" t="n"/>
      <c r="O118" s="4" t="n"/>
      <c r="P118" s="4" t="n"/>
      <c r="Q118" s="4" t="n"/>
      <c r="R118" s="4" t="n"/>
      <c r="S118" s="4" t="n"/>
      <c r="T118" s="4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6">
        <f>IF(COUNT(C119:G119)&gt;0,ROUND(AVERAGE(C119:G119),1),"")</f>
        <v/>
      </c>
      <c r="I119" s="4" t="n"/>
      <c r="J119" s="4" t="n"/>
      <c r="K119" s="4" t="n"/>
      <c r="L119" s="6">
        <f>IF(COUNT(I119:K119)&gt;0,ROUND(AVERAGE(I119:K119),1),"")</f>
        <v/>
      </c>
      <c r="M119" s="6">
        <f>IF(AND(L119&lt;&gt;"",기준값!$B$9&lt;&gt;""),ROUND((L119-기준값!$B$9)*10,0),"")</f>
        <v/>
      </c>
      <c r="N119" s="4" t="n"/>
      <c r="O119" s="4" t="n"/>
      <c r="P119" s="4" t="n"/>
      <c r="Q119" s="4" t="n"/>
      <c r="R119" s="4" t="n"/>
      <c r="S119" s="4" t="n"/>
      <c r="T119" s="4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6">
        <f>IF(COUNT(C120:G120)&gt;0,ROUND(AVERAGE(C120:G120),1),"")</f>
        <v/>
      </c>
      <c r="I120" s="4" t="n"/>
      <c r="J120" s="4" t="n"/>
      <c r="K120" s="4" t="n"/>
      <c r="L120" s="6">
        <f>IF(COUNT(I120:K120)&gt;0,ROUND(AVERAGE(I120:K120),1),"")</f>
        <v/>
      </c>
      <c r="M120" s="6">
        <f>IF(AND(L120&lt;&gt;"",기준값!$B$9&lt;&gt;""),ROUND((L120-기준값!$B$9)*10,0),"")</f>
        <v/>
      </c>
      <c r="N120" s="4" t="n"/>
      <c r="O120" s="4" t="n"/>
      <c r="P120" s="4" t="n"/>
      <c r="Q120" s="4" t="n"/>
      <c r="R120" s="4" t="n"/>
      <c r="S120" s="4" t="n"/>
      <c r="T120" s="4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6">
        <f>IF(COUNT(C121:G121)&gt;0,ROUND(AVERAGE(C121:G121),1),"")</f>
        <v/>
      </c>
      <c r="I121" s="4" t="n"/>
      <c r="J121" s="4" t="n"/>
      <c r="K121" s="4" t="n"/>
      <c r="L121" s="6">
        <f>IF(COUNT(I121:K121)&gt;0,ROUND(AVERAGE(I121:K121),1),"")</f>
        <v/>
      </c>
      <c r="M121" s="6">
        <f>IF(AND(L121&lt;&gt;"",기준값!$B$9&lt;&gt;""),ROUND((L121-기준값!$B$9)*10,0),"")</f>
        <v/>
      </c>
      <c r="N121" s="4" t="n"/>
      <c r="O121" s="4" t="n"/>
      <c r="P121" s="4" t="n"/>
      <c r="Q121" s="4" t="n"/>
      <c r="R121" s="4" t="n"/>
      <c r="S121" s="4" t="n"/>
      <c r="T121" s="4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6">
        <f>IF(COUNT(C122:G122)&gt;0,ROUND(AVERAGE(C122:G122),1),"")</f>
        <v/>
      </c>
      <c r="I122" s="4" t="n"/>
      <c r="J122" s="4" t="n"/>
      <c r="K122" s="4" t="n"/>
      <c r="L122" s="6">
        <f>IF(COUNT(I122:K122)&gt;0,ROUND(AVERAGE(I122:K122),1),"")</f>
        <v/>
      </c>
      <c r="M122" s="6">
        <f>IF(AND(L122&lt;&gt;"",기준값!$B$9&lt;&gt;""),ROUND((L122-기준값!$B$9)*10,0),"")</f>
        <v/>
      </c>
      <c r="N122" s="4" t="n"/>
      <c r="O122" s="4" t="n"/>
      <c r="P122" s="4" t="n"/>
      <c r="Q122" s="4" t="n"/>
      <c r="R122" s="4" t="n"/>
      <c r="S122" s="4" t="n"/>
      <c r="T122" s="4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6">
        <f>IF(COUNT(C123:G123)&gt;0,ROUND(AVERAGE(C123:G123),1),"")</f>
        <v/>
      </c>
      <c r="I123" s="4" t="n"/>
      <c r="J123" s="4" t="n"/>
      <c r="K123" s="4" t="n"/>
      <c r="L123" s="6">
        <f>IF(COUNT(I123:K123)&gt;0,ROUND(AVERAGE(I123:K123),1),"")</f>
        <v/>
      </c>
      <c r="M123" s="6">
        <f>IF(AND(L123&lt;&gt;"",기준값!$B$9&lt;&gt;""),ROUND((L123-기준값!$B$9)*10,0),"")</f>
        <v/>
      </c>
      <c r="N123" s="4" t="n"/>
      <c r="O123" s="4" t="n"/>
      <c r="P123" s="4" t="n"/>
      <c r="Q123" s="4" t="n"/>
      <c r="R123" s="4" t="n"/>
      <c r="S123" s="4" t="n"/>
      <c r="T123" s="4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6">
        <f>IF(COUNT(C124:G124)&gt;0,ROUND(AVERAGE(C124:G124),1),"")</f>
        <v/>
      </c>
      <c r="I124" s="4" t="n"/>
      <c r="J124" s="4" t="n"/>
      <c r="K124" s="4" t="n"/>
      <c r="L124" s="6">
        <f>IF(COUNT(I124:K124)&gt;0,ROUND(AVERAGE(I124:K124),1),"")</f>
        <v/>
      </c>
      <c r="M124" s="6">
        <f>IF(AND(L124&lt;&gt;"",기준값!$B$9&lt;&gt;""),ROUND((L124-기준값!$B$9)*10,0),"")</f>
        <v/>
      </c>
      <c r="N124" s="4" t="n"/>
      <c r="O124" s="4" t="n"/>
      <c r="P124" s="4" t="n"/>
      <c r="Q124" s="4" t="n"/>
      <c r="R124" s="4" t="n"/>
      <c r="S124" s="4" t="n"/>
      <c r="T124" s="4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6">
        <f>IF(COUNT(C125:G125)&gt;0,ROUND(AVERAGE(C125:G125),1),"")</f>
        <v/>
      </c>
      <c r="I125" s="4" t="n"/>
      <c r="J125" s="4" t="n"/>
      <c r="K125" s="4" t="n"/>
      <c r="L125" s="6">
        <f>IF(COUNT(I125:K125)&gt;0,ROUND(AVERAGE(I125:K125),1),"")</f>
        <v/>
      </c>
      <c r="M125" s="6">
        <f>IF(AND(L125&lt;&gt;"",기준값!$B$9&lt;&gt;""),ROUND((L125-기준값!$B$9)*10,0),"")</f>
        <v/>
      </c>
      <c r="N125" s="4" t="n"/>
      <c r="O125" s="4" t="n"/>
      <c r="P125" s="4" t="n"/>
      <c r="Q125" s="4" t="n"/>
      <c r="R125" s="4" t="n"/>
      <c r="S125" s="4" t="n"/>
      <c r="T125" s="4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6">
        <f>IF(COUNT(C126:G126)&gt;0,ROUND(AVERAGE(C126:G126),1),"")</f>
        <v/>
      </c>
      <c r="I126" s="4" t="n"/>
      <c r="J126" s="4" t="n"/>
      <c r="K126" s="4" t="n"/>
      <c r="L126" s="6">
        <f>IF(COUNT(I126:K126)&gt;0,ROUND(AVERAGE(I126:K126),1),"")</f>
        <v/>
      </c>
      <c r="M126" s="6">
        <f>IF(AND(L126&lt;&gt;"",기준값!$B$9&lt;&gt;""),ROUND((L126-기준값!$B$9)*10,0),"")</f>
        <v/>
      </c>
      <c r="N126" s="4" t="n"/>
      <c r="O126" s="4" t="n"/>
      <c r="P126" s="4" t="n"/>
      <c r="Q126" s="4" t="n"/>
      <c r="R126" s="4" t="n"/>
      <c r="S126" s="4" t="n"/>
      <c r="T126" s="4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6">
        <f>IF(COUNT(C127:G127)&gt;0,ROUND(AVERAGE(C127:G127),1),"")</f>
        <v/>
      </c>
      <c r="I127" s="4" t="n"/>
      <c r="J127" s="4" t="n"/>
      <c r="K127" s="4" t="n"/>
      <c r="L127" s="6">
        <f>IF(COUNT(I127:K127)&gt;0,ROUND(AVERAGE(I127:K127),1),"")</f>
        <v/>
      </c>
      <c r="M127" s="6">
        <f>IF(AND(L127&lt;&gt;"",기준값!$B$9&lt;&gt;""),ROUND((L127-기준값!$B$9)*10,0),"")</f>
        <v/>
      </c>
      <c r="N127" s="4" t="n"/>
      <c r="O127" s="4" t="n"/>
      <c r="P127" s="4" t="n"/>
      <c r="Q127" s="4" t="n"/>
      <c r="R127" s="4" t="n"/>
      <c r="S127" s="4" t="n"/>
      <c r="T127" s="4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6">
        <f>IF(COUNT(C128:G128)&gt;0,ROUND(AVERAGE(C128:G128),1),"")</f>
        <v/>
      </c>
      <c r="I128" s="4" t="n"/>
      <c r="J128" s="4" t="n"/>
      <c r="K128" s="4" t="n"/>
      <c r="L128" s="6">
        <f>IF(COUNT(I128:K128)&gt;0,ROUND(AVERAGE(I128:K128),1),"")</f>
        <v/>
      </c>
      <c r="M128" s="6">
        <f>IF(AND(L128&lt;&gt;"",기준값!$B$9&lt;&gt;""),ROUND((L128-기준값!$B$9)*10,0),"")</f>
        <v/>
      </c>
      <c r="N128" s="4" t="n"/>
      <c r="O128" s="4" t="n"/>
      <c r="P128" s="4" t="n"/>
      <c r="Q128" s="4" t="n"/>
      <c r="R128" s="4" t="n"/>
      <c r="S128" s="4" t="n"/>
      <c r="T128" s="4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6">
        <f>IF(COUNT(C129:G129)&gt;0,ROUND(AVERAGE(C129:G129),1),"")</f>
        <v/>
      </c>
      <c r="I129" s="4" t="n"/>
      <c r="J129" s="4" t="n"/>
      <c r="K129" s="4" t="n"/>
      <c r="L129" s="6">
        <f>IF(COUNT(I129:K129)&gt;0,ROUND(AVERAGE(I129:K129),1),"")</f>
        <v/>
      </c>
      <c r="M129" s="6">
        <f>IF(AND(L129&lt;&gt;"",기준값!$B$9&lt;&gt;""),ROUND((L129-기준값!$B$9)*10,0),"")</f>
        <v/>
      </c>
      <c r="N129" s="4" t="n"/>
      <c r="O129" s="4" t="n"/>
      <c r="P129" s="4" t="n"/>
      <c r="Q129" s="4" t="n"/>
      <c r="R129" s="4" t="n"/>
      <c r="S129" s="4" t="n"/>
      <c r="T129" s="4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6">
        <f>IF(COUNT(C130:G130)&gt;0,ROUND(AVERAGE(C130:G130),1),"")</f>
        <v/>
      </c>
      <c r="I130" s="4" t="n"/>
      <c r="J130" s="4" t="n"/>
      <c r="K130" s="4" t="n"/>
      <c r="L130" s="6">
        <f>IF(COUNT(I130:K130)&gt;0,ROUND(AVERAGE(I130:K130),1),"")</f>
        <v/>
      </c>
      <c r="M130" s="6">
        <f>IF(AND(L130&lt;&gt;"",기준값!$B$9&lt;&gt;""),ROUND((L130-기준값!$B$9)*10,0),"")</f>
        <v/>
      </c>
      <c r="N130" s="4" t="n"/>
      <c r="O130" s="4" t="n"/>
      <c r="P130" s="4" t="n"/>
      <c r="Q130" s="4" t="n"/>
      <c r="R130" s="4" t="n"/>
      <c r="S130" s="4" t="n"/>
      <c r="T130" s="4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6">
        <f>IF(COUNT(C131:G131)&gt;0,ROUND(AVERAGE(C131:G131),1),"")</f>
        <v/>
      </c>
      <c r="I131" s="4" t="n"/>
      <c r="J131" s="4" t="n"/>
      <c r="K131" s="4" t="n"/>
      <c r="L131" s="6">
        <f>IF(COUNT(I131:K131)&gt;0,ROUND(AVERAGE(I131:K131),1),"")</f>
        <v/>
      </c>
      <c r="M131" s="6">
        <f>IF(AND(L131&lt;&gt;"",기준값!$B$9&lt;&gt;""),ROUND((L131-기준값!$B$9)*10,0),"")</f>
        <v/>
      </c>
      <c r="N131" s="4" t="n"/>
      <c r="O131" s="4" t="n"/>
      <c r="P131" s="4" t="n"/>
      <c r="Q131" s="4" t="n"/>
      <c r="R131" s="4" t="n"/>
      <c r="S131" s="4" t="n"/>
      <c r="T131" s="4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6">
        <f>IF(COUNT(C132:G132)&gt;0,ROUND(AVERAGE(C132:G132),1),"")</f>
        <v/>
      </c>
      <c r="I132" s="4" t="n"/>
      <c r="J132" s="4" t="n"/>
      <c r="K132" s="4" t="n"/>
      <c r="L132" s="6">
        <f>IF(COUNT(I132:K132)&gt;0,ROUND(AVERAGE(I132:K132),1),"")</f>
        <v/>
      </c>
      <c r="M132" s="6">
        <f>IF(AND(L132&lt;&gt;"",기준값!$B$9&lt;&gt;""),ROUND((L132-기준값!$B$9)*10,0),"")</f>
        <v/>
      </c>
      <c r="N132" s="4" t="n"/>
      <c r="O132" s="4" t="n"/>
      <c r="P132" s="4" t="n"/>
      <c r="Q132" s="4" t="n"/>
      <c r="R132" s="4" t="n"/>
      <c r="S132" s="4" t="n"/>
      <c r="T132" s="4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6">
        <f>IF(COUNT(C133:G133)&gt;0,ROUND(AVERAGE(C133:G133),1),"")</f>
        <v/>
      </c>
      <c r="I133" s="4" t="n"/>
      <c r="J133" s="4" t="n"/>
      <c r="K133" s="4" t="n"/>
      <c r="L133" s="6">
        <f>IF(COUNT(I133:K133)&gt;0,ROUND(AVERAGE(I133:K133),1),"")</f>
        <v/>
      </c>
      <c r="M133" s="6">
        <f>IF(AND(L133&lt;&gt;"",기준값!$B$9&lt;&gt;""),ROUND((L133-기준값!$B$9)*10,0),"")</f>
        <v/>
      </c>
      <c r="N133" s="4" t="n"/>
      <c r="O133" s="4" t="n"/>
      <c r="P133" s="4" t="n"/>
      <c r="Q133" s="4" t="n"/>
      <c r="R133" s="4" t="n"/>
      <c r="S133" s="4" t="n"/>
      <c r="T133" s="4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6">
        <f>IF(COUNT(C134:G134)&gt;0,ROUND(AVERAGE(C134:G134),1),"")</f>
        <v/>
      </c>
      <c r="I134" s="4" t="n"/>
      <c r="J134" s="4" t="n"/>
      <c r="K134" s="4" t="n"/>
      <c r="L134" s="6">
        <f>IF(COUNT(I134:K134)&gt;0,ROUND(AVERAGE(I134:K134),1),"")</f>
        <v/>
      </c>
      <c r="M134" s="6">
        <f>IF(AND(L134&lt;&gt;"",기준값!$B$9&lt;&gt;""),ROUND((L134-기준값!$B$9)*10,0),"")</f>
        <v/>
      </c>
      <c r="N134" s="4" t="n"/>
      <c r="O134" s="4" t="n"/>
      <c r="P134" s="4" t="n"/>
      <c r="Q134" s="4" t="n"/>
      <c r="R134" s="4" t="n"/>
      <c r="S134" s="4" t="n"/>
      <c r="T134" s="4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6">
        <f>IF(COUNT(C135:G135)&gt;0,ROUND(AVERAGE(C135:G135),1),"")</f>
        <v/>
      </c>
      <c r="I135" s="4" t="n"/>
      <c r="J135" s="4" t="n"/>
      <c r="K135" s="4" t="n"/>
      <c r="L135" s="6">
        <f>IF(COUNT(I135:K135)&gt;0,ROUND(AVERAGE(I135:K135),1),"")</f>
        <v/>
      </c>
      <c r="M135" s="6">
        <f>IF(AND(L135&lt;&gt;"",기준값!$B$9&lt;&gt;""),ROUND((L135-기준값!$B$9)*10,0),"")</f>
        <v/>
      </c>
      <c r="N135" s="4" t="n"/>
      <c r="O135" s="4" t="n"/>
      <c r="P135" s="4" t="n"/>
      <c r="Q135" s="4" t="n"/>
      <c r="R135" s="4" t="n"/>
      <c r="S135" s="4" t="n"/>
      <c r="T135" s="4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6">
        <f>IF(COUNT(C136:G136)&gt;0,ROUND(AVERAGE(C136:G136),1),"")</f>
        <v/>
      </c>
      <c r="I136" s="4" t="n"/>
      <c r="J136" s="4" t="n"/>
      <c r="K136" s="4" t="n"/>
      <c r="L136" s="6">
        <f>IF(COUNT(I136:K136)&gt;0,ROUND(AVERAGE(I136:K136),1),"")</f>
        <v/>
      </c>
      <c r="M136" s="6">
        <f>IF(AND(L136&lt;&gt;"",기준값!$B$9&lt;&gt;""),ROUND((L136-기준값!$B$9)*10,0),"")</f>
        <v/>
      </c>
      <c r="N136" s="4" t="n"/>
      <c r="O136" s="4" t="n"/>
      <c r="P136" s="4" t="n"/>
      <c r="Q136" s="4" t="n"/>
      <c r="R136" s="4" t="n"/>
      <c r="S136" s="4" t="n"/>
      <c r="T136" s="4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6">
        <f>IF(COUNT(C137:G137)&gt;0,ROUND(AVERAGE(C137:G137),1),"")</f>
        <v/>
      </c>
      <c r="I137" s="4" t="n"/>
      <c r="J137" s="4" t="n"/>
      <c r="K137" s="4" t="n"/>
      <c r="L137" s="6">
        <f>IF(COUNT(I137:K137)&gt;0,ROUND(AVERAGE(I137:K137),1),"")</f>
        <v/>
      </c>
      <c r="M137" s="6">
        <f>IF(AND(L137&lt;&gt;"",기준값!$B$9&lt;&gt;""),ROUND((L137-기준값!$B$9)*10,0),"")</f>
        <v/>
      </c>
      <c r="N137" s="4" t="n"/>
      <c r="O137" s="4" t="n"/>
      <c r="P137" s="4" t="n"/>
      <c r="Q137" s="4" t="n"/>
      <c r="R137" s="4" t="n"/>
      <c r="S137" s="4" t="n"/>
      <c r="T137" s="4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6">
        <f>IF(COUNT(C138:G138)&gt;0,ROUND(AVERAGE(C138:G138),1),"")</f>
        <v/>
      </c>
      <c r="I138" s="4" t="n"/>
      <c r="J138" s="4" t="n"/>
      <c r="K138" s="4" t="n"/>
      <c r="L138" s="6">
        <f>IF(COUNT(I138:K138)&gt;0,ROUND(AVERAGE(I138:K138),1),"")</f>
        <v/>
      </c>
      <c r="M138" s="6">
        <f>IF(AND(L138&lt;&gt;"",기준값!$B$9&lt;&gt;""),ROUND((L138-기준값!$B$9)*10,0),"")</f>
        <v/>
      </c>
      <c r="N138" s="4" t="n"/>
      <c r="O138" s="4" t="n"/>
      <c r="P138" s="4" t="n"/>
      <c r="Q138" s="4" t="n"/>
      <c r="R138" s="4" t="n"/>
      <c r="S138" s="4" t="n"/>
      <c r="T138" s="4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6">
        <f>IF(COUNT(C139:G139)&gt;0,ROUND(AVERAGE(C139:G139),1),"")</f>
        <v/>
      </c>
      <c r="I139" s="4" t="n"/>
      <c r="J139" s="4" t="n"/>
      <c r="K139" s="4" t="n"/>
      <c r="L139" s="6">
        <f>IF(COUNT(I139:K139)&gt;0,ROUND(AVERAGE(I139:K139),1),"")</f>
        <v/>
      </c>
      <c r="M139" s="6">
        <f>IF(AND(L139&lt;&gt;"",기준값!$B$9&lt;&gt;""),ROUND((L139-기준값!$B$9)*10,0),"")</f>
        <v/>
      </c>
      <c r="N139" s="4" t="n"/>
      <c r="O139" s="4" t="n"/>
      <c r="P139" s="4" t="n"/>
      <c r="Q139" s="4" t="n"/>
      <c r="R139" s="4" t="n"/>
      <c r="S139" s="4" t="n"/>
      <c r="T139" s="4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6">
        <f>IF(COUNT(C140:G140)&gt;0,ROUND(AVERAGE(C140:G140),1),"")</f>
        <v/>
      </c>
      <c r="I140" s="4" t="n"/>
      <c r="J140" s="4" t="n"/>
      <c r="K140" s="4" t="n"/>
      <c r="L140" s="6">
        <f>IF(COUNT(I140:K140)&gt;0,ROUND(AVERAGE(I140:K140),1),"")</f>
        <v/>
      </c>
      <c r="M140" s="6">
        <f>IF(AND(L140&lt;&gt;"",기준값!$B$9&lt;&gt;""),ROUND((L140-기준값!$B$9)*10,0),"")</f>
        <v/>
      </c>
      <c r="N140" s="4" t="n"/>
      <c r="O140" s="4" t="n"/>
      <c r="P140" s="4" t="n"/>
      <c r="Q140" s="4" t="n"/>
      <c r="R140" s="4" t="n"/>
      <c r="S140" s="4" t="n"/>
      <c r="T140" s="4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6">
        <f>IF(COUNT(C141:G141)&gt;0,ROUND(AVERAGE(C141:G141),1),"")</f>
        <v/>
      </c>
      <c r="I141" s="4" t="n"/>
      <c r="J141" s="4" t="n"/>
      <c r="K141" s="4" t="n"/>
      <c r="L141" s="6">
        <f>IF(COUNT(I141:K141)&gt;0,ROUND(AVERAGE(I141:K141),1),"")</f>
        <v/>
      </c>
      <c r="M141" s="6">
        <f>IF(AND(L141&lt;&gt;"",기준값!$B$9&lt;&gt;""),ROUND((L141-기준값!$B$9)*10,0),"")</f>
        <v/>
      </c>
      <c r="N141" s="4" t="n"/>
      <c r="O141" s="4" t="n"/>
      <c r="P141" s="4" t="n"/>
      <c r="Q141" s="4" t="n"/>
      <c r="R141" s="4" t="n"/>
      <c r="S141" s="4" t="n"/>
      <c r="T141" s="4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6">
        <f>IF(COUNT(C142:G142)&gt;0,ROUND(AVERAGE(C142:G142),1),"")</f>
        <v/>
      </c>
      <c r="I142" s="4" t="n"/>
      <c r="J142" s="4" t="n"/>
      <c r="K142" s="4" t="n"/>
      <c r="L142" s="6">
        <f>IF(COUNT(I142:K142)&gt;0,ROUND(AVERAGE(I142:K142),1),"")</f>
        <v/>
      </c>
      <c r="M142" s="6">
        <f>IF(AND(L142&lt;&gt;"",기준값!$B$9&lt;&gt;""),ROUND((L142-기준값!$B$9)*10,0),"")</f>
        <v/>
      </c>
      <c r="N142" s="4" t="n"/>
      <c r="O142" s="4" t="n"/>
      <c r="P142" s="4" t="n"/>
      <c r="Q142" s="4" t="n"/>
      <c r="R142" s="4" t="n"/>
      <c r="S142" s="4" t="n"/>
      <c r="T142" s="4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6">
        <f>IF(COUNT(C143:G143)&gt;0,ROUND(AVERAGE(C143:G143),1),"")</f>
        <v/>
      </c>
      <c r="I143" s="4" t="n"/>
      <c r="J143" s="4" t="n"/>
      <c r="K143" s="4" t="n"/>
      <c r="L143" s="6">
        <f>IF(COUNT(I143:K143)&gt;0,ROUND(AVERAGE(I143:K143),1),"")</f>
        <v/>
      </c>
      <c r="M143" s="6">
        <f>IF(AND(L143&lt;&gt;"",기준값!$B$9&lt;&gt;""),ROUND((L143-기준값!$B$9)*10,0),"")</f>
        <v/>
      </c>
      <c r="N143" s="4" t="n"/>
      <c r="O143" s="4" t="n"/>
      <c r="P143" s="4" t="n"/>
      <c r="Q143" s="4" t="n"/>
      <c r="R143" s="4" t="n"/>
      <c r="S143" s="4" t="n"/>
      <c r="T143" s="4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6">
        <f>IF(COUNT(C144:G144)&gt;0,ROUND(AVERAGE(C144:G144),1),"")</f>
        <v/>
      </c>
      <c r="I144" s="4" t="n"/>
      <c r="J144" s="4" t="n"/>
      <c r="K144" s="4" t="n"/>
      <c r="L144" s="6">
        <f>IF(COUNT(I144:K144)&gt;0,ROUND(AVERAGE(I144:K144),1),"")</f>
        <v/>
      </c>
      <c r="M144" s="6">
        <f>IF(AND(L144&lt;&gt;"",기준값!$B$9&lt;&gt;""),ROUND((L144-기준값!$B$9)*10,0),"")</f>
        <v/>
      </c>
      <c r="N144" s="4" t="n"/>
      <c r="O144" s="4" t="n"/>
      <c r="P144" s="4" t="n"/>
      <c r="Q144" s="4" t="n"/>
      <c r="R144" s="4" t="n"/>
      <c r="S144" s="4" t="n"/>
      <c r="T144" s="4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6">
        <f>IF(COUNT(C145:G145)&gt;0,ROUND(AVERAGE(C145:G145),1),"")</f>
        <v/>
      </c>
      <c r="I145" s="4" t="n"/>
      <c r="J145" s="4" t="n"/>
      <c r="K145" s="4" t="n"/>
      <c r="L145" s="6">
        <f>IF(COUNT(I145:K145)&gt;0,ROUND(AVERAGE(I145:K145),1),"")</f>
        <v/>
      </c>
      <c r="M145" s="6">
        <f>IF(AND(L145&lt;&gt;"",기준값!$B$9&lt;&gt;""),ROUND((L145-기준값!$B$9)*10,0),"")</f>
        <v/>
      </c>
      <c r="N145" s="4" t="n"/>
      <c r="O145" s="4" t="n"/>
      <c r="P145" s="4" t="n"/>
      <c r="Q145" s="4" t="n"/>
      <c r="R145" s="4" t="n"/>
      <c r="S145" s="4" t="n"/>
      <c r="T145" s="4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6">
        <f>IF(COUNT(C146:G146)&gt;0,ROUND(AVERAGE(C146:G146),1),"")</f>
        <v/>
      </c>
      <c r="I146" s="4" t="n"/>
      <c r="J146" s="4" t="n"/>
      <c r="K146" s="4" t="n"/>
      <c r="L146" s="6">
        <f>IF(COUNT(I146:K146)&gt;0,ROUND(AVERAGE(I146:K146),1),"")</f>
        <v/>
      </c>
      <c r="M146" s="6">
        <f>IF(AND(L146&lt;&gt;"",기준값!$B$9&lt;&gt;""),ROUND((L146-기준값!$B$9)*10,0),"")</f>
        <v/>
      </c>
      <c r="N146" s="4" t="n"/>
      <c r="O146" s="4" t="n"/>
      <c r="P146" s="4" t="n"/>
      <c r="Q146" s="4" t="n"/>
      <c r="R146" s="4" t="n"/>
      <c r="S146" s="4" t="n"/>
      <c r="T146" s="4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6">
        <f>IF(COUNT(C147:G147)&gt;0,ROUND(AVERAGE(C147:G147),1),"")</f>
        <v/>
      </c>
      <c r="I147" s="4" t="n"/>
      <c r="J147" s="4" t="n"/>
      <c r="K147" s="4" t="n"/>
      <c r="L147" s="6">
        <f>IF(COUNT(I147:K147)&gt;0,ROUND(AVERAGE(I147:K147),1),"")</f>
        <v/>
      </c>
      <c r="M147" s="6">
        <f>IF(AND(L147&lt;&gt;"",기준값!$B$9&lt;&gt;""),ROUND((L147-기준값!$B$9)*10,0),"")</f>
        <v/>
      </c>
      <c r="N147" s="4" t="n"/>
      <c r="O147" s="4" t="n"/>
      <c r="P147" s="4" t="n"/>
      <c r="Q147" s="4" t="n"/>
      <c r="R147" s="4" t="n"/>
      <c r="S147" s="4" t="n"/>
      <c r="T147" s="4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6">
        <f>IF(COUNT(C148:G148)&gt;0,ROUND(AVERAGE(C148:G148),1),"")</f>
        <v/>
      </c>
      <c r="I148" s="4" t="n"/>
      <c r="J148" s="4" t="n"/>
      <c r="K148" s="4" t="n"/>
      <c r="L148" s="6">
        <f>IF(COUNT(I148:K148)&gt;0,ROUND(AVERAGE(I148:K148),1),"")</f>
        <v/>
      </c>
      <c r="M148" s="6">
        <f>IF(AND(L148&lt;&gt;"",기준값!$B$9&lt;&gt;""),ROUND((L148-기준값!$B$9)*10,0),"")</f>
        <v/>
      </c>
      <c r="N148" s="4" t="n"/>
      <c r="O148" s="4" t="n"/>
      <c r="P148" s="4" t="n"/>
      <c r="Q148" s="4" t="n"/>
      <c r="R148" s="4" t="n"/>
      <c r="S148" s="4" t="n"/>
      <c r="T148" s="4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6">
        <f>IF(COUNT(C149:G149)&gt;0,ROUND(AVERAGE(C149:G149),1),"")</f>
        <v/>
      </c>
      <c r="I149" s="4" t="n"/>
      <c r="J149" s="4" t="n"/>
      <c r="K149" s="4" t="n"/>
      <c r="L149" s="6">
        <f>IF(COUNT(I149:K149)&gt;0,ROUND(AVERAGE(I149:K149),1),"")</f>
        <v/>
      </c>
      <c r="M149" s="6">
        <f>IF(AND(L149&lt;&gt;"",기준값!$B$9&lt;&gt;""),ROUND((L149-기준값!$B$9)*10,0),"")</f>
        <v/>
      </c>
      <c r="N149" s="4" t="n"/>
      <c r="O149" s="4" t="n"/>
      <c r="P149" s="4" t="n"/>
      <c r="Q149" s="4" t="n"/>
      <c r="R149" s="4" t="n"/>
      <c r="S149" s="4" t="n"/>
      <c r="T149" s="4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6">
        <f>IF(COUNT(C150:G150)&gt;0,ROUND(AVERAGE(C150:G150),1),"")</f>
        <v/>
      </c>
      <c r="I150" s="4" t="n"/>
      <c r="J150" s="4" t="n"/>
      <c r="K150" s="4" t="n"/>
      <c r="L150" s="6">
        <f>IF(COUNT(I150:K150)&gt;0,ROUND(AVERAGE(I150:K150),1),"")</f>
        <v/>
      </c>
      <c r="M150" s="6">
        <f>IF(AND(L150&lt;&gt;"",기준값!$B$9&lt;&gt;""),ROUND((L150-기준값!$B$9)*10,0),"")</f>
        <v/>
      </c>
      <c r="N150" s="4" t="n"/>
      <c r="O150" s="4" t="n"/>
      <c r="P150" s="4" t="n"/>
      <c r="Q150" s="4" t="n"/>
      <c r="R150" s="4" t="n"/>
      <c r="S150" s="4" t="n"/>
      <c r="T150" s="4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6">
        <f>IF(COUNT(C151:G151)&gt;0,ROUND(AVERAGE(C151:G151),1),"")</f>
        <v/>
      </c>
      <c r="I151" s="4" t="n"/>
      <c r="J151" s="4" t="n"/>
      <c r="K151" s="4" t="n"/>
      <c r="L151" s="6">
        <f>IF(COUNT(I151:K151)&gt;0,ROUND(AVERAGE(I151:K151),1),"")</f>
        <v/>
      </c>
      <c r="M151" s="6">
        <f>IF(AND(L151&lt;&gt;"",기준값!$B$9&lt;&gt;""),ROUND((L151-기준값!$B$9)*10,0),"")</f>
        <v/>
      </c>
      <c r="N151" s="4" t="n"/>
      <c r="O151" s="4" t="n"/>
      <c r="P151" s="4" t="n"/>
      <c r="Q151" s="4" t="n"/>
      <c r="R151" s="4" t="n"/>
      <c r="S151" s="4" t="n"/>
      <c r="T151" s="4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6">
        <f>IF(COUNT(C152:G152)&gt;0,ROUND(AVERAGE(C152:G152),1),"")</f>
        <v/>
      </c>
      <c r="I152" s="4" t="n"/>
      <c r="J152" s="4" t="n"/>
      <c r="K152" s="4" t="n"/>
      <c r="L152" s="6">
        <f>IF(COUNT(I152:K152)&gt;0,ROUND(AVERAGE(I152:K152),1),"")</f>
        <v/>
      </c>
      <c r="M152" s="6">
        <f>IF(AND(L152&lt;&gt;"",기준값!$B$9&lt;&gt;""),ROUND((L152-기준값!$B$9)*10,0),"")</f>
        <v/>
      </c>
      <c r="N152" s="4" t="n"/>
      <c r="O152" s="4" t="n"/>
      <c r="P152" s="4" t="n"/>
      <c r="Q152" s="4" t="n"/>
      <c r="R152" s="4" t="n"/>
      <c r="S152" s="4" t="n"/>
      <c r="T152" s="4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6">
        <f>IF(COUNT(C153:G153)&gt;0,ROUND(AVERAGE(C153:G153),1),"")</f>
        <v/>
      </c>
      <c r="I153" s="4" t="n"/>
      <c r="J153" s="4" t="n"/>
      <c r="K153" s="4" t="n"/>
      <c r="L153" s="6">
        <f>IF(COUNT(I153:K153)&gt;0,ROUND(AVERAGE(I153:K153),1),"")</f>
        <v/>
      </c>
      <c r="M153" s="6">
        <f>IF(AND(L153&lt;&gt;"",기준값!$B$9&lt;&gt;""),ROUND((L153-기준값!$B$9)*10,0),"")</f>
        <v/>
      </c>
      <c r="N153" s="4" t="n"/>
      <c r="O153" s="4" t="n"/>
      <c r="P153" s="4" t="n"/>
      <c r="Q153" s="4" t="n"/>
      <c r="R153" s="4" t="n"/>
      <c r="S153" s="4" t="n"/>
      <c r="T153" s="4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6">
        <f>IF(COUNT(C154:G154)&gt;0,ROUND(AVERAGE(C154:G154),1),"")</f>
        <v/>
      </c>
      <c r="I154" s="4" t="n"/>
      <c r="J154" s="4" t="n"/>
      <c r="K154" s="4" t="n"/>
      <c r="L154" s="6">
        <f>IF(COUNT(I154:K154)&gt;0,ROUND(AVERAGE(I154:K154),1),"")</f>
        <v/>
      </c>
      <c r="M154" s="6">
        <f>IF(AND(L154&lt;&gt;"",기준값!$B$9&lt;&gt;""),ROUND((L154-기준값!$B$9)*10,0),"")</f>
        <v/>
      </c>
      <c r="N154" s="4" t="n"/>
      <c r="O154" s="4" t="n"/>
      <c r="P154" s="4" t="n"/>
      <c r="Q154" s="4" t="n"/>
      <c r="R154" s="4" t="n"/>
      <c r="S154" s="4" t="n"/>
      <c r="T154" s="4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6">
        <f>IF(COUNT(C155:G155)&gt;0,ROUND(AVERAGE(C155:G155),1),"")</f>
        <v/>
      </c>
      <c r="I155" s="4" t="n"/>
      <c r="J155" s="4" t="n"/>
      <c r="K155" s="4" t="n"/>
      <c r="L155" s="6">
        <f>IF(COUNT(I155:K155)&gt;0,ROUND(AVERAGE(I155:K155),1),"")</f>
        <v/>
      </c>
      <c r="M155" s="6">
        <f>IF(AND(L155&lt;&gt;"",기준값!$B$9&lt;&gt;""),ROUND((L155-기준값!$B$9)*10,0),"")</f>
        <v/>
      </c>
      <c r="N155" s="4" t="n"/>
      <c r="O155" s="4" t="n"/>
      <c r="P155" s="4" t="n"/>
      <c r="Q155" s="4" t="n"/>
      <c r="R155" s="4" t="n"/>
      <c r="S155" s="4" t="n"/>
      <c r="T155" s="4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6">
        <f>IF(COUNT(C156:G156)&gt;0,ROUND(AVERAGE(C156:G156),1),"")</f>
        <v/>
      </c>
      <c r="I156" s="4" t="n"/>
      <c r="J156" s="4" t="n"/>
      <c r="K156" s="4" t="n"/>
      <c r="L156" s="6">
        <f>IF(COUNT(I156:K156)&gt;0,ROUND(AVERAGE(I156:K156),1),"")</f>
        <v/>
      </c>
      <c r="M156" s="6">
        <f>IF(AND(L156&lt;&gt;"",기준값!$B$9&lt;&gt;""),ROUND((L156-기준값!$B$9)*10,0),"")</f>
        <v/>
      </c>
      <c r="N156" s="4" t="n"/>
      <c r="O156" s="4" t="n"/>
      <c r="P156" s="4" t="n"/>
      <c r="Q156" s="4" t="n"/>
      <c r="R156" s="4" t="n"/>
      <c r="S156" s="4" t="n"/>
      <c r="T156" s="4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6">
        <f>IF(COUNT(C157:G157)&gt;0,ROUND(AVERAGE(C157:G157),1),"")</f>
        <v/>
      </c>
      <c r="I157" s="4" t="n"/>
      <c r="J157" s="4" t="n"/>
      <c r="K157" s="4" t="n"/>
      <c r="L157" s="6">
        <f>IF(COUNT(I157:K157)&gt;0,ROUND(AVERAGE(I157:K157),1),"")</f>
        <v/>
      </c>
      <c r="M157" s="6">
        <f>IF(AND(L157&lt;&gt;"",기준값!$B$9&lt;&gt;""),ROUND((L157-기준값!$B$9)*10,0),"")</f>
        <v/>
      </c>
      <c r="N157" s="4" t="n"/>
      <c r="O157" s="4" t="n"/>
      <c r="P157" s="4" t="n"/>
      <c r="Q157" s="4" t="n"/>
      <c r="R157" s="4" t="n"/>
      <c r="S157" s="4" t="n"/>
      <c r="T157" s="4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6">
        <f>IF(COUNT(C158:G158)&gt;0,ROUND(AVERAGE(C158:G158),1),"")</f>
        <v/>
      </c>
      <c r="I158" s="4" t="n"/>
      <c r="J158" s="4" t="n"/>
      <c r="K158" s="4" t="n"/>
      <c r="L158" s="6">
        <f>IF(COUNT(I158:K158)&gt;0,ROUND(AVERAGE(I158:K158),1),"")</f>
        <v/>
      </c>
      <c r="M158" s="6">
        <f>IF(AND(L158&lt;&gt;"",기준값!$B$9&lt;&gt;""),ROUND((L158-기준값!$B$9)*10,0),"")</f>
        <v/>
      </c>
      <c r="N158" s="4" t="n"/>
      <c r="O158" s="4" t="n"/>
      <c r="P158" s="4" t="n"/>
      <c r="Q158" s="4" t="n"/>
      <c r="R158" s="4" t="n"/>
      <c r="S158" s="4" t="n"/>
      <c r="T158" s="4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6">
        <f>IF(COUNT(C159:G159)&gt;0,ROUND(AVERAGE(C159:G159),1),"")</f>
        <v/>
      </c>
      <c r="I159" s="4" t="n"/>
      <c r="J159" s="4" t="n"/>
      <c r="K159" s="4" t="n"/>
      <c r="L159" s="6">
        <f>IF(COUNT(I159:K159)&gt;0,ROUND(AVERAGE(I159:K159),1),"")</f>
        <v/>
      </c>
      <c r="M159" s="6">
        <f>IF(AND(L159&lt;&gt;"",기준값!$B$9&lt;&gt;""),ROUND((L159-기준값!$B$9)*10,0),"")</f>
        <v/>
      </c>
      <c r="N159" s="4" t="n"/>
      <c r="O159" s="4" t="n"/>
      <c r="P159" s="4" t="n"/>
      <c r="Q159" s="4" t="n"/>
      <c r="R159" s="4" t="n"/>
      <c r="S159" s="4" t="n"/>
      <c r="T159" s="4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6">
        <f>IF(COUNT(C160:G160)&gt;0,ROUND(AVERAGE(C160:G160),1),"")</f>
        <v/>
      </c>
      <c r="I160" s="4" t="n"/>
      <c r="J160" s="4" t="n"/>
      <c r="K160" s="4" t="n"/>
      <c r="L160" s="6">
        <f>IF(COUNT(I160:K160)&gt;0,ROUND(AVERAGE(I160:K160),1),"")</f>
        <v/>
      </c>
      <c r="M160" s="6">
        <f>IF(AND(L160&lt;&gt;"",기준값!$B$9&lt;&gt;""),ROUND((L160-기준값!$B$9)*10,0),"")</f>
        <v/>
      </c>
      <c r="N160" s="4" t="n"/>
      <c r="O160" s="4" t="n"/>
      <c r="P160" s="4" t="n"/>
      <c r="Q160" s="4" t="n"/>
      <c r="R160" s="4" t="n"/>
      <c r="S160" s="4" t="n"/>
      <c r="T160" s="4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6">
        <f>IF(COUNT(C161:G161)&gt;0,ROUND(AVERAGE(C161:G161),1),"")</f>
        <v/>
      </c>
      <c r="I161" s="4" t="n"/>
      <c r="J161" s="4" t="n"/>
      <c r="K161" s="4" t="n"/>
      <c r="L161" s="6">
        <f>IF(COUNT(I161:K161)&gt;0,ROUND(AVERAGE(I161:K161),1),"")</f>
        <v/>
      </c>
      <c r="M161" s="6">
        <f>IF(AND(L161&lt;&gt;"",기준값!$B$9&lt;&gt;""),ROUND((L161-기준값!$B$9)*10,0),"")</f>
        <v/>
      </c>
      <c r="N161" s="4" t="n"/>
      <c r="O161" s="4" t="n"/>
      <c r="P161" s="4" t="n"/>
      <c r="Q161" s="4" t="n"/>
      <c r="R161" s="4" t="n"/>
      <c r="S161" s="4" t="n"/>
      <c r="T161" s="4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6">
        <f>IF(COUNT(C162:G162)&gt;0,ROUND(AVERAGE(C162:G162),1),"")</f>
        <v/>
      </c>
      <c r="I162" s="4" t="n"/>
      <c r="J162" s="4" t="n"/>
      <c r="K162" s="4" t="n"/>
      <c r="L162" s="6">
        <f>IF(COUNT(I162:K162)&gt;0,ROUND(AVERAGE(I162:K162),1),"")</f>
        <v/>
      </c>
      <c r="M162" s="6">
        <f>IF(AND(L162&lt;&gt;"",기준값!$B$9&lt;&gt;""),ROUND((L162-기준값!$B$9)*10,0),"")</f>
        <v/>
      </c>
      <c r="N162" s="4" t="n"/>
      <c r="O162" s="4" t="n"/>
      <c r="P162" s="4" t="n"/>
      <c r="Q162" s="4" t="n"/>
      <c r="R162" s="4" t="n"/>
      <c r="S162" s="4" t="n"/>
      <c r="T162" s="4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6">
        <f>IF(COUNT(C163:G163)&gt;0,ROUND(AVERAGE(C163:G163),1),"")</f>
        <v/>
      </c>
      <c r="I163" s="4" t="n"/>
      <c r="J163" s="4" t="n"/>
      <c r="K163" s="4" t="n"/>
      <c r="L163" s="6">
        <f>IF(COUNT(I163:K163)&gt;0,ROUND(AVERAGE(I163:K163),1),"")</f>
        <v/>
      </c>
      <c r="M163" s="6">
        <f>IF(AND(L163&lt;&gt;"",기준값!$B$9&lt;&gt;""),ROUND((L163-기준값!$B$9)*10,0),"")</f>
        <v/>
      </c>
      <c r="N163" s="4" t="n"/>
      <c r="O163" s="4" t="n"/>
      <c r="P163" s="4" t="n"/>
      <c r="Q163" s="4" t="n"/>
      <c r="R163" s="4" t="n"/>
      <c r="S163" s="4" t="n"/>
      <c r="T163" s="4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6">
        <f>IF(COUNT(C164:G164)&gt;0,ROUND(AVERAGE(C164:G164),1),"")</f>
        <v/>
      </c>
      <c r="I164" s="4" t="n"/>
      <c r="J164" s="4" t="n"/>
      <c r="K164" s="4" t="n"/>
      <c r="L164" s="6">
        <f>IF(COUNT(I164:K164)&gt;0,ROUND(AVERAGE(I164:K164),1),"")</f>
        <v/>
      </c>
      <c r="M164" s="6">
        <f>IF(AND(L164&lt;&gt;"",기준값!$B$9&lt;&gt;""),ROUND((L164-기준값!$B$9)*10,0),"")</f>
        <v/>
      </c>
      <c r="N164" s="4" t="n"/>
      <c r="O164" s="4" t="n"/>
      <c r="P164" s="4" t="n"/>
      <c r="Q164" s="4" t="n"/>
      <c r="R164" s="4" t="n"/>
      <c r="S164" s="4" t="n"/>
      <c r="T164" s="4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6">
        <f>IF(COUNT(C165:G165)&gt;0,ROUND(AVERAGE(C165:G165),1),"")</f>
        <v/>
      </c>
      <c r="I165" s="4" t="n"/>
      <c r="J165" s="4" t="n"/>
      <c r="K165" s="4" t="n"/>
      <c r="L165" s="6">
        <f>IF(COUNT(I165:K165)&gt;0,ROUND(AVERAGE(I165:K165),1),"")</f>
        <v/>
      </c>
      <c r="M165" s="6">
        <f>IF(AND(L165&lt;&gt;"",기준값!$B$9&lt;&gt;""),ROUND((L165-기준값!$B$9)*10,0),"")</f>
        <v/>
      </c>
      <c r="N165" s="4" t="n"/>
      <c r="O165" s="4" t="n"/>
      <c r="P165" s="4" t="n"/>
      <c r="Q165" s="4" t="n"/>
      <c r="R165" s="4" t="n"/>
      <c r="S165" s="4" t="n"/>
      <c r="T165" s="4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6">
        <f>IF(COUNT(C166:G166)&gt;0,ROUND(AVERAGE(C166:G166),1),"")</f>
        <v/>
      </c>
      <c r="I166" s="4" t="n"/>
      <c r="J166" s="4" t="n"/>
      <c r="K166" s="4" t="n"/>
      <c r="L166" s="6">
        <f>IF(COUNT(I166:K166)&gt;0,ROUND(AVERAGE(I166:K166),1),"")</f>
        <v/>
      </c>
      <c r="M166" s="6">
        <f>IF(AND(L166&lt;&gt;"",기준값!$B$9&lt;&gt;""),ROUND((L166-기준값!$B$9)*10,0),"")</f>
        <v/>
      </c>
      <c r="N166" s="4" t="n"/>
      <c r="O166" s="4" t="n"/>
      <c r="P166" s="4" t="n"/>
      <c r="Q166" s="4" t="n"/>
      <c r="R166" s="4" t="n"/>
      <c r="S166" s="4" t="n"/>
      <c r="T166" s="4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6">
        <f>IF(COUNT(C167:G167)&gt;0,ROUND(AVERAGE(C167:G167),1),"")</f>
        <v/>
      </c>
      <c r="I167" s="4" t="n"/>
      <c r="J167" s="4" t="n"/>
      <c r="K167" s="4" t="n"/>
      <c r="L167" s="6">
        <f>IF(COUNT(I167:K167)&gt;0,ROUND(AVERAGE(I167:K167),1),"")</f>
        <v/>
      </c>
      <c r="M167" s="6">
        <f>IF(AND(L167&lt;&gt;"",기준값!$B$9&lt;&gt;""),ROUND((L167-기준값!$B$9)*10,0),"")</f>
        <v/>
      </c>
      <c r="N167" s="4" t="n"/>
      <c r="O167" s="4" t="n"/>
      <c r="P167" s="4" t="n"/>
      <c r="Q167" s="4" t="n"/>
      <c r="R167" s="4" t="n"/>
      <c r="S167" s="4" t="n"/>
      <c r="T167" s="4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6">
        <f>IF(COUNT(C168:G168)&gt;0,ROUND(AVERAGE(C168:G168),1),"")</f>
        <v/>
      </c>
      <c r="I168" s="4" t="n"/>
      <c r="J168" s="4" t="n"/>
      <c r="K168" s="4" t="n"/>
      <c r="L168" s="6">
        <f>IF(COUNT(I168:K168)&gt;0,ROUND(AVERAGE(I168:K168),1),"")</f>
        <v/>
      </c>
      <c r="M168" s="6">
        <f>IF(AND(L168&lt;&gt;"",기준값!$B$9&lt;&gt;""),ROUND((L168-기준값!$B$9)*10,0),"")</f>
        <v/>
      </c>
      <c r="N168" s="4" t="n"/>
      <c r="O168" s="4" t="n"/>
      <c r="P168" s="4" t="n"/>
      <c r="Q168" s="4" t="n"/>
      <c r="R168" s="4" t="n"/>
      <c r="S168" s="4" t="n"/>
      <c r="T168" s="4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6">
        <f>IF(COUNT(C169:G169)&gt;0,ROUND(AVERAGE(C169:G169),1),"")</f>
        <v/>
      </c>
      <c r="I169" s="4" t="n"/>
      <c r="J169" s="4" t="n"/>
      <c r="K169" s="4" t="n"/>
      <c r="L169" s="6">
        <f>IF(COUNT(I169:K169)&gt;0,ROUND(AVERAGE(I169:K169),1),"")</f>
        <v/>
      </c>
      <c r="M169" s="6">
        <f>IF(AND(L169&lt;&gt;"",기준값!$B$9&lt;&gt;""),ROUND((L169-기준값!$B$9)*10,0),"")</f>
        <v/>
      </c>
      <c r="N169" s="4" t="n"/>
      <c r="O169" s="4" t="n"/>
      <c r="P169" s="4" t="n"/>
      <c r="Q169" s="4" t="n"/>
      <c r="R169" s="4" t="n"/>
      <c r="S169" s="4" t="n"/>
      <c r="T169" s="4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6">
        <f>IF(COUNT(C170:G170)&gt;0,ROUND(AVERAGE(C170:G170),1),"")</f>
        <v/>
      </c>
      <c r="I170" s="4" t="n"/>
      <c r="J170" s="4" t="n"/>
      <c r="K170" s="4" t="n"/>
      <c r="L170" s="6">
        <f>IF(COUNT(I170:K170)&gt;0,ROUND(AVERAGE(I170:K170),1),"")</f>
        <v/>
      </c>
      <c r="M170" s="6">
        <f>IF(AND(L170&lt;&gt;"",기준값!$B$9&lt;&gt;""),ROUND((L170-기준값!$B$9)*10,0),"")</f>
        <v/>
      </c>
      <c r="N170" s="4" t="n"/>
      <c r="O170" s="4" t="n"/>
      <c r="P170" s="4" t="n"/>
      <c r="Q170" s="4" t="n"/>
      <c r="R170" s="4" t="n"/>
      <c r="S170" s="4" t="n"/>
      <c r="T170" s="4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6">
        <f>IF(COUNT(C171:G171)&gt;0,ROUND(AVERAGE(C171:G171),1),"")</f>
        <v/>
      </c>
      <c r="I171" s="4" t="n"/>
      <c r="J171" s="4" t="n"/>
      <c r="K171" s="4" t="n"/>
      <c r="L171" s="6">
        <f>IF(COUNT(I171:K171)&gt;0,ROUND(AVERAGE(I171:K171),1),"")</f>
        <v/>
      </c>
      <c r="M171" s="6">
        <f>IF(AND(L171&lt;&gt;"",기준값!$B$9&lt;&gt;""),ROUND((L171-기준값!$B$9)*10,0),"")</f>
        <v/>
      </c>
      <c r="N171" s="4" t="n"/>
      <c r="O171" s="4" t="n"/>
      <c r="P171" s="4" t="n"/>
      <c r="Q171" s="4" t="n"/>
      <c r="R171" s="4" t="n"/>
      <c r="S171" s="4" t="n"/>
      <c r="T171" s="4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6">
        <f>IF(COUNT(C172:G172)&gt;0,ROUND(AVERAGE(C172:G172),1),"")</f>
        <v/>
      </c>
      <c r="I172" s="4" t="n"/>
      <c r="J172" s="4" t="n"/>
      <c r="K172" s="4" t="n"/>
      <c r="L172" s="6">
        <f>IF(COUNT(I172:K172)&gt;0,ROUND(AVERAGE(I172:K172),1),"")</f>
        <v/>
      </c>
      <c r="M172" s="6">
        <f>IF(AND(L172&lt;&gt;"",기준값!$B$9&lt;&gt;""),ROUND((L172-기준값!$B$9)*10,0),"")</f>
        <v/>
      </c>
      <c r="N172" s="4" t="n"/>
      <c r="O172" s="4" t="n"/>
      <c r="P172" s="4" t="n"/>
      <c r="Q172" s="4" t="n"/>
      <c r="R172" s="4" t="n"/>
      <c r="S172" s="4" t="n"/>
      <c r="T172" s="4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6">
        <f>IF(COUNT(C173:G173)&gt;0,ROUND(AVERAGE(C173:G173),1),"")</f>
        <v/>
      </c>
      <c r="I173" s="4" t="n"/>
      <c r="J173" s="4" t="n"/>
      <c r="K173" s="4" t="n"/>
      <c r="L173" s="6">
        <f>IF(COUNT(I173:K173)&gt;0,ROUND(AVERAGE(I173:K173),1),"")</f>
        <v/>
      </c>
      <c r="M173" s="6">
        <f>IF(AND(L173&lt;&gt;"",기준값!$B$9&lt;&gt;""),ROUND((L173-기준값!$B$9)*10,0),"")</f>
        <v/>
      </c>
      <c r="N173" s="4" t="n"/>
      <c r="O173" s="4" t="n"/>
      <c r="P173" s="4" t="n"/>
      <c r="Q173" s="4" t="n"/>
      <c r="R173" s="4" t="n"/>
      <c r="S173" s="4" t="n"/>
      <c r="T173" s="4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6">
        <f>IF(COUNT(C174:G174)&gt;0,ROUND(AVERAGE(C174:G174),1),"")</f>
        <v/>
      </c>
      <c r="I174" s="4" t="n"/>
      <c r="J174" s="4" t="n"/>
      <c r="K174" s="4" t="n"/>
      <c r="L174" s="6">
        <f>IF(COUNT(I174:K174)&gt;0,ROUND(AVERAGE(I174:K174),1),"")</f>
        <v/>
      </c>
      <c r="M174" s="6">
        <f>IF(AND(L174&lt;&gt;"",기준값!$B$9&lt;&gt;""),ROUND((L174-기준값!$B$9)*10,0),"")</f>
        <v/>
      </c>
      <c r="N174" s="4" t="n"/>
      <c r="O174" s="4" t="n"/>
      <c r="P174" s="4" t="n"/>
      <c r="Q174" s="4" t="n"/>
      <c r="R174" s="4" t="n"/>
      <c r="S174" s="4" t="n"/>
      <c r="T174" s="4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6">
        <f>IF(COUNT(C175:G175)&gt;0,ROUND(AVERAGE(C175:G175),1),"")</f>
        <v/>
      </c>
      <c r="I175" s="4" t="n"/>
      <c r="J175" s="4" t="n"/>
      <c r="K175" s="4" t="n"/>
      <c r="L175" s="6">
        <f>IF(COUNT(I175:K175)&gt;0,ROUND(AVERAGE(I175:K175),1),"")</f>
        <v/>
      </c>
      <c r="M175" s="6">
        <f>IF(AND(L175&lt;&gt;"",기준값!$B$9&lt;&gt;""),ROUND((L175-기준값!$B$9)*10,0),"")</f>
        <v/>
      </c>
      <c r="N175" s="4" t="n"/>
      <c r="O175" s="4" t="n"/>
      <c r="P175" s="4" t="n"/>
      <c r="Q175" s="4" t="n"/>
      <c r="R175" s="4" t="n"/>
      <c r="S175" s="4" t="n"/>
      <c r="T175" s="4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6">
        <f>IF(COUNT(C176:G176)&gt;0,ROUND(AVERAGE(C176:G176),1),"")</f>
        <v/>
      </c>
      <c r="I176" s="4" t="n"/>
      <c r="J176" s="4" t="n"/>
      <c r="K176" s="4" t="n"/>
      <c r="L176" s="6">
        <f>IF(COUNT(I176:K176)&gt;0,ROUND(AVERAGE(I176:K176),1),"")</f>
        <v/>
      </c>
      <c r="M176" s="6">
        <f>IF(AND(L176&lt;&gt;"",기준값!$B$9&lt;&gt;""),ROUND((L176-기준값!$B$9)*10,0),"")</f>
        <v/>
      </c>
      <c r="N176" s="4" t="n"/>
      <c r="O176" s="4" t="n"/>
      <c r="P176" s="4" t="n"/>
      <c r="Q176" s="4" t="n"/>
      <c r="R176" s="4" t="n"/>
      <c r="S176" s="4" t="n"/>
      <c r="T176" s="4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6">
        <f>IF(COUNT(C177:G177)&gt;0,ROUND(AVERAGE(C177:G177),1),"")</f>
        <v/>
      </c>
      <c r="I177" s="4" t="n"/>
      <c r="J177" s="4" t="n"/>
      <c r="K177" s="4" t="n"/>
      <c r="L177" s="6">
        <f>IF(COUNT(I177:K177)&gt;0,ROUND(AVERAGE(I177:K177),1),"")</f>
        <v/>
      </c>
      <c r="M177" s="6">
        <f>IF(AND(L177&lt;&gt;"",기준값!$B$9&lt;&gt;""),ROUND((L177-기준값!$B$9)*10,0),"")</f>
        <v/>
      </c>
      <c r="N177" s="4" t="n"/>
      <c r="O177" s="4" t="n"/>
      <c r="P177" s="4" t="n"/>
      <c r="Q177" s="4" t="n"/>
      <c r="R177" s="4" t="n"/>
      <c r="S177" s="4" t="n"/>
      <c r="T177" s="4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6">
        <f>IF(COUNT(C178:G178)&gt;0,ROUND(AVERAGE(C178:G178),1),"")</f>
        <v/>
      </c>
      <c r="I178" s="4" t="n"/>
      <c r="J178" s="4" t="n"/>
      <c r="K178" s="4" t="n"/>
      <c r="L178" s="6">
        <f>IF(COUNT(I178:K178)&gt;0,ROUND(AVERAGE(I178:K178),1),"")</f>
        <v/>
      </c>
      <c r="M178" s="6">
        <f>IF(AND(L178&lt;&gt;"",기준값!$B$9&lt;&gt;""),ROUND((L178-기준값!$B$9)*10,0),"")</f>
        <v/>
      </c>
      <c r="N178" s="4" t="n"/>
      <c r="O178" s="4" t="n"/>
      <c r="P178" s="4" t="n"/>
      <c r="Q178" s="4" t="n"/>
      <c r="R178" s="4" t="n"/>
      <c r="S178" s="4" t="n"/>
      <c r="T178" s="4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6">
        <f>IF(COUNT(C179:G179)&gt;0,ROUND(AVERAGE(C179:G179),1),"")</f>
        <v/>
      </c>
      <c r="I179" s="4" t="n"/>
      <c r="J179" s="4" t="n"/>
      <c r="K179" s="4" t="n"/>
      <c r="L179" s="6">
        <f>IF(COUNT(I179:K179)&gt;0,ROUND(AVERAGE(I179:K179),1),"")</f>
        <v/>
      </c>
      <c r="M179" s="6">
        <f>IF(AND(L179&lt;&gt;"",기준값!$B$9&lt;&gt;""),ROUND((L179-기준값!$B$9)*10,0),"")</f>
        <v/>
      </c>
      <c r="N179" s="4" t="n"/>
      <c r="O179" s="4" t="n"/>
      <c r="P179" s="4" t="n"/>
      <c r="Q179" s="4" t="n"/>
      <c r="R179" s="4" t="n"/>
      <c r="S179" s="4" t="n"/>
      <c r="T179" s="4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6">
        <f>IF(COUNT(C180:G180)&gt;0,ROUND(AVERAGE(C180:G180),1),"")</f>
        <v/>
      </c>
      <c r="I180" s="4" t="n"/>
      <c r="J180" s="4" t="n"/>
      <c r="K180" s="4" t="n"/>
      <c r="L180" s="6">
        <f>IF(COUNT(I180:K180)&gt;0,ROUND(AVERAGE(I180:K180),1),"")</f>
        <v/>
      </c>
      <c r="M180" s="6">
        <f>IF(AND(L180&lt;&gt;"",기준값!$B$9&lt;&gt;""),ROUND((L180-기준값!$B$9)*10,0),"")</f>
        <v/>
      </c>
      <c r="N180" s="4" t="n"/>
      <c r="O180" s="4" t="n"/>
      <c r="P180" s="4" t="n"/>
      <c r="Q180" s="4" t="n"/>
      <c r="R180" s="4" t="n"/>
      <c r="S180" s="4" t="n"/>
      <c r="T180" s="4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6">
        <f>IF(COUNT(C181:G181)&gt;0,ROUND(AVERAGE(C181:G181),1),"")</f>
        <v/>
      </c>
      <c r="I181" s="4" t="n"/>
      <c r="J181" s="4" t="n"/>
      <c r="K181" s="4" t="n"/>
      <c r="L181" s="6">
        <f>IF(COUNT(I181:K181)&gt;0,ROUND(AVERAGE(I181:K181),1),"")</f>
        <v/>
      </c>
      <c r="M181" s="6">
        <f>IF(AND(L181&lt;&gt;"",기준값!$B$9&lt;&gt;""),ROUND((L181-기준값!$B$9)*10,0),"")</f>
        <v/>
      </c>
      <c r="N181" s="4" t="n"/>
      <c r="O181" s="4" t="n"/>
      <c r="P181" s="4" t="n"/>
      <c r="Q181" s="4" t="n"/>
      <c r="R181" s="4" t="n"/>
      <c r="S181" s="4" t="n"/>
      <c r="T181" s="4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6">
        <f>IF(COUNT(C182:G182)&gt;0,ROUND(AVERAGE(C182:G182),1),"")</f>
        <v/>
      </c>
      <c r="I182" s="4" t="n"/>
      <c r="J182" s="4" t="n"/>
      <c r="K182" s="4" t="n"/>
      <c r="L182" s="6">
        <f>IF(COUNT(I182:K182)&gt;0,ROUND(AVERAGE(I182:K182),1),"")</f>
        <v/>
      </c>
      <c r="M182" s="6">
        <f>IF(AND(L182&lt;&gt;"",기준값!$B$9&lt;&gt;""),ROUND((L182-기준값!$B$9)*10,0),"")</f>
        <v/>
      </c>
      <c r="N182" s="4" t="n"/>
      <c r="O182" s="4" t="n"/>
      <c r="P182" s="4" t="n"/>
      <c r="Q182" s="4" t="n"/>
      <c r="R182" s="4" t="n"/>
      <c r="S182" s="4" t="n"/>
      <c r="T182" s="4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6">
        <f>IF(COUNT(C183:G183)&gt;0,ROUND(AVERAGE(C183:G183),1),"")</f>
        <v/>
      </c>
      <c r="I183" s="4" t="n"/>
      <c r="J183" s="4" t="n"/>
      <c r="K183" s="4" t="n"/>
      <c r="L183" s="6">
        <f>IF(COUNT(I183:K183)&gt;0,ROUND(AVERAGE(I183:K183),1),"")</f>
        <v/>
      </c>
      <c r="M183" s="6">
        <f>IF(AND(L183&lt;&gt;"",기준값!$B$9&lt;&gt;""),ROUND((L183-기준값!$B$9)*10,0),"")</f>
        <v/>
      </c>
      <c r="N183" s="4" t="n"/>
      <c r="O183" s="4" t="n"/>
      <c r="P183" s="4" t="n"/>
      <c r="Q183" s="4" t="n"/>
      <c r="R183" s="4" t="n"/>
      <c r="S183" s="4" t="n"/>
      <c r="T183" s="4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6">
        <f>IF(COUNT(C184:G184)&gt;0,ROUND(AVERAGE(C184:G184),1),"")</f>
        <v/>
      </c>
      <c r="I184" s="4" t="n"/>
      <c r="J184" s="4" t="n"/>
      <c r="K184" s="4" t="n"/>
      <c r="L184" s="6">
        <f>IF(COUNT(I184:K184)&gt;0,ROUND(AVERAGE(I184:K184),1),"")</f>
        <v/>
      </c>
      <c r="M184" s="6">
        <f>IF(AND(L184&lt;&gt;"",기준값!$B$9&lt;&gt;""),ROUND((L184-기준값!$B$9)*10,0),"")</f>
        <v/>
      </c>
      <c r="N184" s="4" t="n"/>
      <c r="O184" s="4" t="n"/>
      <c r="P184" s="4" t="n"/>
      <c r="Q184" s="4" t="n"/>
      <c r="R184" s="4" t="n"/>
      <c r="S184" s="4" t="n"/>
      <c r="T184" s="4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6">
        <f>IF(COUNT(C185:G185)&gt;0,ROUND(AVERAGE(C185:G185),1),"")</f>
        <v/>
      </c>
      <c r="I185" s="4" t="n"/>
      <c r="J185" s="4" t="n"/>
      <c r="K185" s="4" t="n"/>
      <c r="L185" s="6">
        <f>IF(COUNT(I185:K185)&gt;0,ROUND(AVERAGE(I185:K185),1),"")</f>
        <v/>
      </c>
      <c r="M185" s="6">
        <f>IF(AND(L185&lt;&gt;"",기준값!$B$9&lt;&gt;""),ROUND((L185-기준값!$B$9)*10,0),"")</f>
        <v/>
      </c>
      <c r="N185" s="4" t="n"/>
      <c r="O185" s="4" t="n"/>
      <c r="P185" s="4" t="n"/>
      <c r="Q185" s="4" t="n"/>
      <c r="R185" s="4" t="n"/>
      <c r="S185" s="4" t="n"/>
      <c r="T185" s="4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6">
        <f>IF(COUNT(C186:G186)&gt;0,ROUND(AVERAGE(C186:G186),1),"")</f>
        <v/>
      </c>
      <c r="I186" s="4" t="n"/>
      <c r="J186" s="4" t="n"/>
      <c r="K186" s="4" t="n"/>
      <c r="L186" s="6">
        <f>IF(COUNT(I186:K186)&gt;0,ROUND(AVERAGE(I186:K186),1),"")</f>
        <v/>
      </c>
      <c r="M186" s="6">
        <f>IF(AND(L186&lt;&gt;"",기준값!$B$9&lt;&gt;""),ROUND((L186-기준값!$B$9)*10,0),"")</f>
        <v/>
      </c>
      <c r="N186" s="4" t="n"/>
      <c r="O186" s="4" t="n"/>
      <c r="P186" s="4" t="n"/>
      <c r="Q186" s="4" t="n"/>
      <c r="R186" s="4" t="n"/>
      <c r="S186" s="4" t="n"/>
      <c r="T186" s="4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6">
        <f>IF(COUNT(C187:G187)&gt;0,ROUND(AVERAGE(C187:G187),1),"")</f>
        <v/>
      </c>
      <c r="I187" s="4" t="n"/>
      <c r="J187" s="4" t="n"/>
      <c r="K187" s="4" t="n"/>
      <c r="L187" s="6">
        <f>IF(COUNT(I187:K187)&gt;0,ROUND(AVERAGE(I187:K187),1),"")</f>
        <v/>
      </c>
      <c r="M187" s="6">
        <f>IF(AND(L187&lt;&gt;"",기준값!$B$9&lt;&gt;""),ROUND((L187-기준값!$B$9)*10,0),"")</f>
        <v/>
      </c>
      <c r="N187" s="4" t="n"/>
      <c r="O187" s="4" t="n"/>
      <c r="P187" s="4" t="n"/>
      <c r="Q187" s="4" t="n"/>
      <c r="R187" s="4" t="n"/>
      <c r="S187" s="4" t="n"/>
      <c r="T187" s="4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6">
        <f>IF(COUNT(C188:G188)&gt;0,ROUND(AVERAGE(C188:G188),1),"")</f>
        <v/>
      </c>
      <c r="I188" s="4" t="n"/>
      <c r="J188" s="4" t="n"/>
      <c r="K188" s="4" t="n"/>
      <c r="L188" s="6">
        <f>IF(COUNT(I188:K188)&gt;0,ROUND(AVERAGE(I188:K188),1),"")</f>
        <v/>
      </c>
      <c r="M188" s="6">
        <f>IF(AND(L188&lt;&gt;"",기준값!$B$9&lt;&gt;""),ROUND((L188-기준값!$B$9)*10,0),"")</f>
        <v/>
      </c>
      <c r="N188" s="4" t="n"/>
      <c r="O188" s="4" t="n"/>
      <c r="P188" s="4" t="n"/>
      <c r="Q188" s="4" t="n"/>
      <c r="R188" s="4" t="n"/>
      <c r="S188" s="4" t="n"/>
      <c r="T188" s="4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6">
        <f>IF(COUNT(C189:G189)&gt;0,ROUND(AVERAGE(C189:G189),1),"")</f>
        <v/>
      </c>
      <c r="I189" s="4" t="n"/>
      <c r="J189" s="4" t="n"/>
      <c r="K189" s="4" t="n"/>
      <c r="L189" s="6">
        <f>IF(COUNT(I189:K189)&gt;0,ROUND(AVERAGE(I189:K189),1),"")</f>
        <v/>
      </c>
      <c r="M189" s="6">
        <f>IF(AND(L189&lt;&gt;"",기준값!$B$9&lt;&gt;""),ROUND((L189-기준값!$B$9)*10,0),"")</f>
        <v/>
      </c>
      <c r="N189" s="4" t="n"/>
      <c r="O189" s="4" t="n"/>
      <c r="P189" s="4" t="n"/>
      <c r="Q189" s="4" t="n"/>
      <c r="R189" s="4" t="n"/>
      <c r="S189" s="4" t="n"/>
      <c r="T189" s="4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6">
        <f>IF(COUNT(C190:G190)&gt;0,ROUND(AVERAGE(C190:G190),1),"")</f>
        <v/>
      </c>
      <c r="I190" s="4" t="n"/>
      <c r="J190" s="4" t="n"/>
      <c r="K190" s="4" t="n"/>
      <c r="L190" s="6">
        <f>IF(COUNT(I190:K190)&gt;0,ROUND(AVERAGE(I190:K190),1),"")</f>
        <v/>
      </c>
      <c r="M190" s="6">
        <f>IF(AND(L190&lt;&gt;"",기준값!$B$9&lt;&gt;""),ROUND((L190-기준값!$B$9)*10,0),"")</f>
        <v/>
      </c>
      <c r="N190" s="4" t="n"/>
      <c r="O190" s="4" t="n"/>
      <c r="P190" s="4" t="n"/>
      <c r="Q190" s="4" t="n"/>
      <c r="R190" s="4" t="n"/>
      <c r="S190" s="4" t="n"/>
      <c r="T190" s="4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6">
        <f>IF(COUNT(C191:G191)&gt;0,ROUND(AVERAGE(C191:G191),1),"")</f>
        <v/>
      </c>
      <c r="I191" s="4" t="n"/>
      <c r="J191" s="4" t="n"/>
      <c r="K191" s="4" t="n"/>
      <c r="L191" s="6">
        <f>IF(COUNT(I191:K191)&gt;0,ROUND(AVERAGE(I191:K191),1),"")</f>
        <v/>
      </c>
      <c r="M191" s="6">
        <f>IF(AND(L191&lt;&gt;"",기준값!$B$9&lt;&gt;""),ROUND((L191-기준값!$B$9)*10,0),"")</f>
        <v/>
      </c>
      <c r="N191" s="4" t="n"/>
      <c r="O191" s="4" t="n"/>
      <c r="P191" s="4" t="n"/>
      <c r="Q191" s="4" t="n"/>
      <c r="R191" s="4" t="n"/>
      <c r="S191" s="4" t="n"/>
      <c r="T191" s="4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6">
        <f>IF(COUNT(C192:G192)&gt;0,ROUND(AVERAGE(C192:G192),1),"")</f>
        <v/>
      </c>
      <c r="I192" s="4" t="n"/>
      <c r="J192" s="4" t="n"/>
      <c r="K192" s="4" t="n"/>
      <c r="L192" s="6">
        <f>IF(COUNT(I192:K192)&gt;0,ROUND(AVERAGE(I192:K192),1),"")</f>
        <v/>
      </c>
      <c r="M192" s="6">
        <f>IF(AND(L192&lt;&gt;"",기준값!$B$9&lt;&gt;""),ROUND((L192-기준값!$B$9)*10,0),"")</f>
        <v/>
      </c>
      <c r="N192" s="4" t="n"/>
      <c r="O192" s="4" t="n"/>
      <c r="P192" s="4" t="n"/>
      <c r="Q192" s="4" t="n"/>
      <c r="R192" s="4" t="n"/>
      <c r="S192" s="4" t="n"/>
      <c r="T192" s="4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6">
        <f>IF(COUNT(C193:G193)&gt;0,ROUND(AVERAGE(C193:G193),1),"")</f>
        <v/>
      </c>
      <c r="I193" s="4" t="n"/>
      <c r="J193" s="4" t="n"/>
      <c r="K193" s="4" t="n"/>
      <c r="L193" s="6">
        <f>IF(COUNT(I193:K193)&gt;0,ROUND(AVERAGE(I193:K193),1),"")</f>
        <v/>
      </c>
      <c r="M193" s="6">
        <f>IF(AND(L193&lt;&gt;"",기준값!$B$9&lt;&gt;""),ROUND((L193-기준값!$B$9)*10,0),"")</f>
        <v/>
      </c>
      <c r="N193" s="4" t="n"/>
      <c r="O193" s="4" t="n"/>
      <c r="P193" s="4" t="n"/>
      <c r="Q193" s="4" t="n"/>
      <c r="R193" s="4" t="n"/>
      <c r="S193" s="4" t="n"/>
      <c r="T193" s="4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6">
        <f>IF(COUNT(C194:G194)&gt;0,ROUND(AVERAGE(C194:G194),1),"")</f>
        <v/>
      </c>
      <c r="I194" s="4" t="n"/>
      <c r="J194" s="4" t="n"/>
      <c r="K194" s="4" t="n"/>
      <c r="L194" s="6">
        <f>IF(COUNT(I194:K194)&gt;0,ROUND(AVERAGE(I194:K194),1),"")</f>
        <v/>
      </c>
      <c r="M194" s="6">
        <f>IF(AND(L194&lt;&gt;"",기준값!$B$9&lt;&gt;""),ROUND((L194-기준값!$B$9)*10,0),"")</f>
        <v/>
      </c>
      <c r="N194" s="4" t="n"/>
      <c r="O194" s="4" t="n"/>
      <c r="P194" s="4" t="n"/>
      <c r="Q194" s="4" t="n"/>
      <c r="R194" s="4" t="n"/>
      <c r="S194" s="4" t="n"/>
      <c r="T194" s="4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6">
        <f>IF(COUNT(C195:G195)&gt;0,ROUND(AVERAGE(C195:G195),1),"")</f>
        <v/>
      </c>
      <c r="I195" s="4" t="n"/>
      <c r="J195" s="4" t="n"/>
      <c r="K195" s="4" t="n"/>
      <c r="L195" s="6">
        <f>IF(COUNT(I195:K195)&gt;0,ROUND(AVERAGE(I195:K195),1),"")</f>
        <v/>
      </c>
      <c r="M195" s="6">
        <f>IF(AND(L195&lt;&gt;"",기준값!$B$9&lt;&gt;""),ROUND((L195-기준값!$B$9)*10,0),"")</f>
        <v/>
      </c>
      <c r="N195" s="4" t="n"/>
      <c r="O195" s="4" t="n"/>
      <c r="P195" s="4" t="n"/>
      <c r="Q195" s="4" t="n"/>
      <c r="R195" s="4" t="n"/>
      <c r="S195" s="4" t="n"/>
      <c r="T195" s="4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6">
        <f>IF(COUNT(C196:G196)&gt;0,ROUND(AVERAGE(C196:G196),1),"")</f>
        <v/>
      </c>
      <c r="I196" s="4" t="n"/>
      <c r="J196" s="4" t="n"/>
      <c r="K196" s="4" t="n"/>
      <c r="L196" s="6">
        <f>IF(COUNT(I196:K196)&gt;0,ROUND(AVERAGE(I196:K196),1),"")</f>
        <v/>
      </c>
      <c r="M196" s="6">
        <f>IF(AND(L196&lt;&gt;"",기준값!$B$9&lt;&gt;""),ROUND((L196-기준값!$B$9)*10,0),"")</f>
        <v/>
      </c>
      <c r="N196" s="4" t="n"/>
      <c r="O196" s="4" t="n"/>
      <c r="P196" s="4" t="n"/>
      <c r="Q196" s="4" t="n"/>
      <c r="R196" s="4" t="n"/>
      <c r="S196" s="4" t="n"/>
      <c r="T196" s="4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6">
        <f>IF(COUNT(C197:G197)&gt;0,ROUND(AVERAGE(C197:G197),1),"")</f>
        <v/>
      </c>
      <c r="I197" s="4" t="n"/>
      <c r="J197" s="4" t="n"/>
      <c r="K197" s="4" t="n"/>
      <c r="L197" s="6">
        <f>IF(COUNT(I197:K197)&gt;0,ROUND(AVERAGE(I197:K197),1),"")</f>
        <v/>
      </c>
      <c r="M197" s="6">
        <f>IF(AND(L197&lt;&gt;"",기준값!$B$9&lt;&gt;""),ROUND((L197-기준값!$B$9)*10,0),"")</f>
        <v/>
      </c>
      <c r="N197" s="4" t="n"/>
      <c r="O197" s="4" t="n"/>
      <c r="P197" s="4" t="n"/>
      <c r="Q197" s="4" t="n"/>
      <c r="R197" s="4" t="n"/>
      <c r="S197" s="4" t="n"/>
      <c r="T197" s="4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6">
        <f>IF(COUNT(C198:G198)&gt;0,ROUND(AVERAGE(C198:G198),1),"")</f>
        <v/>
      </c>
      <c r="I198" s="4" t="n"/>
      <c r="J198" s="4" t="n"/>
      <c r="K198" s="4" t="n"/>
      <c r="L198" s="6">
        <f>IF(COUNT(I198:K198)&gt;0,ROUND(AVERAGE(I198:K198),1),"")</f>
        <v/>
      </c>
      <c r="M198" s="6">
        <f>IF(AND(L198&lt;&gt;"",기준값!$B$9&lt;&gt;""),ROUND((L198-기준값!$B$9)*10,0),"")</f>
        <v/>
      </c>
      <c r="N198" s="4" t="n"/>
      <c r="O198" s="4" t="n"/>
      <c r="P198" s="4" t="n"/>
      <c r="Q198" s="4" t="n"/>
      <c r="R198" s="4" t="n"/>
      <c r="S198" s="4" t="n"/>
      <c r="T198" s="4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6">
        <f>IF(COUNT(C199:G199)&gt;0,ROUND(AVERAGE(C199:G199),1),"")</f>
        <v/>
      </c>
      <c r="I199" s="4" t="n"/>
      <c r="J199" s="4" t="n"/>
      <c r="K199" s="4" t="n"/>
      <c r="L199" s="6">
        <f>IF(COUNT(I199:K199)&gt;0,ROUND(AVERAGE(I199:K199),1),"")</f>
        <v/>
      </c>
      <c r="M199" s="6">
        <f>IF(AND(L199&lt;&gt;"",기준값!$B$9&lt;&gt;""),ROUND((L199-기준값!$B$9)*10,0),"")</f>
        <v/>
      </c>
      <c r="N199" s="4" t="n"/>
      <c r="O199" s="4" t="n"/>
      <c r="P199" s="4" t="n"/>
      <c r="Q199" s="4" t="n"/>
      <c r="R199" s="4" t="n"/>
      <c r="S199" s="4" t="n"/>
      <c r="T199" s="4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6">
        <f>IF(COUNT(C200:G200)&gt;0,ROUND(AVERAGE(C200:G200),1),"")</f>
        <v/>
      </c>
      <c r="I200" s="4" t="n"/>
      <c r="J200" s="4" t="n"/>
      <c r="K200" s="4" t="n"/>
      <c r="L200" s="6">
        <f>IF(COUNT(I200:K200)&gt;0,ROUND(AVERAGE(I200:K200),1),"")</f>
        <v/>
      </c>
      <c r="M200" s="6">
        <f>IF(AND(L200&lt;&gt;"",기준값!$B$9&lt;&gt;""),ROUND((L200-기준값!$B$9)*10,0),"")</f>
        <v/>
      </c>
      <c r="N200" s="4" t="n"/>
      <c r="O200" s="4" t="n"/>
      <c r="P200" s="4" t="n"/>
      <c r="Q200" s="4" t="n"/>
      <c r="R200" s="4" t="n"/>
      <c r="S200" s="4" t="n"/>
      <c r="T200" s="4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6">
        <f>IF(COUNT(C201:G201)&gt;0,ROUND(AVERAGE(C201:G201),1),"")</f>
        <v/>
      </c>
      <c r="I201" s="4" t="n"/>
      <c r="J201" s="4" t="n"/>
      <c r="K201" s="4" t="n"/>
      <c r="L201" s="6">
        <f>IF(COUNT(I201:K201)&gt;0,ROUND(AVERAGE(I201:K201),1),"")</f>
        <v/>
      </c>
      <c r="M201" s="6">
        <f>IF(AND(L201&lt;&gt;"",기준값!$B$9&lt;&gt;""),ROUND((L201-기준값!$B$9)*10,0),"")</f>
        <v/>
      </c>
      <c r="N201" s="4" t="n"/>
      <c r="O201" s="4" t="n"/>
      <c r="P201" s="4" t="n"/>
      <c r="Q201" s="4" t="n"/>
      <c r="R201" s="4" t="n"/>
      <c r="S201" s="4" t="n"/>
      <c r="T20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8" customWidth="1" min="14" max="14"/>
  </cols>
  <sheetData>
    <row r="1">
      <c r="A1" s="1" t="inlineStr">
        <is>
          <t>주 시작(월)</t>
        </is>
      </c>
      <c r="B1" s="1" t="inlineStr">
        <is>
          <t>주 종료(일)</t>
        </is>
      </c>
      <c r="C1" s="1" t="inlineStr">
        <is>
          <t>동</t>
        </is>
      </c>
      <c r="D1" s="1" t="inlineStr">
        <is>
          <t>교반 수행(회)</t>
        </is>
      </c>
      <c r="E1" s="1" t="inlineStr">
        <is>
          <t>평균 소요(분)</t>
        </is>
      </c>
      <c r="F1" s="1" t="inlineStr">
        <is>
          <t>평균 능률(m²/hr)</t>
        </is>
      </c>
      <c r="G1" s="1" t="inlineStr">
        <is>
          <t>평균 미작업률(%)</t>
        </is>
      </c>
      <c r="H1" s="1" t="inlineStr">
        <is>
          <t>평균 소회피(회)</t>
        </is>
      </c>
      <c r="I1" s="1" t="inlineStr">
        <is>
          <t>평균 수분</t>
        </is>
      </c>
      <c r="J1" s="1" t="inlineStr">
        <is>
          <t>평균 냄새</t>
        </is>
      </c>
      <c r="K1" s="1" t="inlineStr">
        <is>
          <t>톱밥(m³)</t>
        </is>
      </c>
      <c r="L1" s="1" t="inlineStr">
        <is>
          <t>피트모스(m³)</t>
        </is>
      </c>
      <c r="M1" s="1" t="inlineStr">
        <is>
          <t>주유(L)</t>
        </is>
      </c>
      <c r="N1" s="1" t="inlineStr">
        <is>
          <t>이탈(회)</t>
        </is>
      </c>
    </row>
    <row r="2">
      <c r="A2" s="7">
        <f>DATE(2026,11,9)+0</f>
        <v/>
      </c>
      <c r="B2" s="7">
        <f>A2+6</f>
        <v/>
      </c>
      <c r="C2" s="2" t="inlineStr">
        <is>
          <t>건유·육성우동</t>
        </is>
      </c>
      <c r="D2" s="2">
        <f>COUNTIFS(일일교반!$A:$A,"&gt;="&amp;A2,일일교반!$A:$A,"&lt;="&amp;B2,일일교반!$C:$C,C2)</f>
        <v/>
      </c>
      <c r="E2" s="2">
        <f>IFERROR(ROUND(AVERAGEIFS(일일교반!$F:$F,일일교반!$A:$A,"&gt;="&amp;A2,일일교반!$A:$A,"&lt;="&amp;B2,일일교반!$C:$C,C2),1),"")</f>
        <v/>
      </c>
      <c r="F2" s="2">
        <f>IFERROR(ROUND(AVERAGEIFS(일일교반!$V:$V,일일교반!$A:$A,"&gt;="&amp;A2,일일교반!$A:$A,"&lt;="&amp;B2,일일교반!$C:$C,C2),1),"")</f>
        <v/>
      </c>
      <c r="G2" s="2">
        <f>IFERROR(ROUND(AVERAGEIFS(일일교반!$W:$W,일일교반!$A:$A,"&gt;="&amp;A2,일일교반!$A:$A,"&lt;="&amp;B2,일일교반!$C:$C,C2),1),"")</f>
        <v/>
      </c>
      <c r="H2" s="2">
        <f>IFERROR(ROUND(AVERAGEIFS(일일교반!$J:$J,일일교반!$A:$A,"&gt;="&amp;A2,일일교반!$A:$A,"&lt;="&amp;B2,일일교반!$C:$C,C2),1),"")</f>
        <v/>
      </c>
      <c r="I2" s="2">
        <f>IFERROR(ROUND(AVERAGEIFS(일일교반!$L:$L,일일교반!$A:$A,"&gt;="&amp;A2,일일교반!$A:$A,"&lt;="&amp;B2,일일교반!$C:$C,C2),1),"")</f>
        <v/>
      </c>
      <c r="J2" s="2">
        <f>IFERROR(ROUND(AVERAGEIFS(일일교반!$M:$M,일일교반!$A:$A,"&gt;="&amp;A2,일일교반!$A:$A,"&lt;="&amp;B2,일일교반!$C:$C,C2),1),"")</f>
        <v/>
      </c>
      <c r="K2" s="2">
        <f>SUMIFS(일일교반!$O:$O,일일교반!$A:$A,"&gt;="&amp;A2,일일교반!$A:$A,"&lt;="&amp;B2,일일교반!$C:$C,C2)</f>
        <v/>
      </c>
      <c r="L2" s="2">
        <f>SUMIFS(일일교반!$P:$P,일일교반!$A:$A,"&gt;="&amp;A2,일일교반!$A:$A,"&lt;="&amp;B2,일일교반!$C:$C,C2)</f>
        <v/>
      </c>
      <c r="M2" s="2">
        <f>SUMIFS(일일교반!$Q:$Q,일일교반!$A:$A,"&gt;="&amp;A2,일일교반!$A:$A,"&lt;="&amp;B2,일일교반!$C:$C,C2)</f>
        <v/>
      </c>
      <c r="N2" s="2">
        <f>COUNTIFS(일일교반!$A:$A,"&gt;="&amp;A2,일일교반!$A:$A,"&lt;="&amp;B2,일일교반!$C:$C,C2,일일교반!$S:$S,"Y")</f>
        <v/>
      </c>
    </row>
    <row r="3">
      <c r="A3" s="7">
        <f>DATE(2026,11,9)+0</f>
        <v/>
      </c>
      <c r="B3" s="7">
        <f>A3+6</f>
        <v/>
      </c>
      <c r="C3" s="2" t="inlineStr">
        <is>
          <t>착유장</t>
        </is>
      </c>
      <c r="D3" s="2">
        <f>COUNTIFS(일일교반!$A:$A,"&gt;="&amp;A3,일일교반!$A:$A,"&lt;="&amp;B3,일일교반!$C:$C,C3)</f>
        <v/>
      </c>
      <c r="E3" s="2">
        <f>IFERROR(ROUND(AVERAGEIFS(일일교반!$F:$F,일일교반!$A:$A,"&gt;="&amp;A3,일일교반!$A:$A,"&lt;="&amp;B3,일일교반!$C:$C,C3),1),"")</f>
        <v/>
      </c>
      <c r="F3" s="2">
        <f>IFERROR(ROUND(AVERAGEIFS(일일교반!$V:$V,일일교반!$A:$A,"&gt;="&amp;A3,일일교반!$A:$A,"&lt;="&amp;B3,일일교반!$C:$C,C3),1),"")</f>
        <v/>
      </c>
      <c r="G3" s="2">
        <f>IFERROR(ROUND(AVERAGEIFS(일일교반!$W:$W,일일교반!$A:$A,"&gt;="&amp;A3,일일교반!$A:$A,"&lt;="&amp;B3,일일교반!$C:$C,C3),1),"")</f>
        <v/>
      </c>
      <c r="H3" s="2">
        <f>IFERROR(ROUND(AVERAGEIFS(일일교반!$J:$J,일일교반!$A:$A,"&gt;="&amp;A3,일일교반!$A:$A,"&lt;="&amp;B3,일일교반!$C:$C,C3),1),"")</f>
        <v/>
      </c>
      <c r="I3" s="2">
        <f>IFERROR(ROUND(AVERAGEIFS(일일교반!$L:$L,일일교반!$A:$A,"&gt;="&amp;A3,일일교반!$A:$A,"&lt;="&amp;B3,일일교반!$C:$C,C3),1),"")</f>
        <v/>
      </c>
      <c r="J3" s="2">
        <f>IFERROR(ROUND(AVERAGEIFS(일일교반!$M:$M,일일교반!$A:$A,"&gt;="&amp;A3,일일교반!$A:$A,"&lt;="&amp;B3,일일교반!$C:$C,C3),1),"")</f>
        <v/>
      </c>
      <c r="K3" s="2">
        <f>SUMIFS(일일교반!$O:$O,일일교반!$A:$A,"&gt;="&amp;A3,일일교반!$A:$A,"&lt;="&amp;B3,일일교반!$C:$C,C3)</f>
        <v/>
      </c>
      <c r="L3" s="2">
        <f>SUMIFS(일일교반!$P:$P,일일교반!$A:$A,"&gt;="&amp;A3,일일교반!$A:$A,"&lt;="&amp;B3,일일교반!$C:$C,C3)</f>
        <v/>
      </c>
      <c r="M3" s="2">
        <f>SUMIFS(일일교반!$Q:$Q,일일교반!$A:$A,"&gt;="&amp;A3,일일교반!$A:$A,"&lt;="&amp;B3,일일교반!$C:$C,C3)</f>
        <v/>
      </c>
      <c r="N3" s="2">
        <f>COUNTIFS(일일교반!$A:$A,"&gt;="&amp;A3,일일교반!$A:$A,"&lt;="&amp;B3,일일교반!$C:$C,C3,일일교반!$S:$S,"Y")</f>
        <v/>
      </c>
    </row>
    <row r="4">
      <c r="A4" s="7">
        <f>DATE(2026,11,9)+7</f>
        <v/>
      </c>
      <c r="B4" s="7">
        <f>A4+6</f>
        <v/>
      </c>
      <c r="C4" s="2" t="inlineStr">
        <is>
          <t>건유·육성우동</t>
        </is>
      </c>
      <c r="D4" s="2">
        <f>COUNTIFS(일일교반!$A:$A,"&gt;="&amp;A4,일일교반!$A:$A,"&lt;="&amp;B4,일일교반!$C:$C,C4)</f>
        <v/>
      </c>
      <c r="E4" s="2">
        <f>IFERROR(ROUND(AVERAGEIFS(일일교반!$F:$F,일일교반!$A:$A,"&gt;="&amp;A4,일일교반!$A:$A,"&lt;="&amp;B4,일일교반!$C:$C,C4),1),"")</f>
        <v/>
      </c>
      <c r="F4" s="2">
        <f>IFERROR(ROUND(AVERAGEIFS(일일교반!$V:$V,일일교반!$A:$A,"&gt;="&amp;A4,일일교반!$A:$A,"&lt;="&amp;B4,일일교반!$C:$C,C4),1),"")</f>
        <v/>
      </c>
      <c r="G4" s="2">
        <f>IFERROR(ROUND(AVERAGEIFS(일일교반!$W:$W,일일교반!$A:$A,"&gt;="&amp;A4,일일교반!$A:$A,"&lt;="&amp;B4,일일교반!$C:$C,C4),1),"")</f>
        <v/>
      </c>
      <c r="H4" s="2">
        <f>IFERROR(ROUND(AVERAGEIFS(일일교반!$J:$J,일일교반!$A:$A,"&gt;="&amp;A4,일일교반!$A:$A,"&lt;="&amp;B4,일일교반!$C:$C,C4),1),"")</f>
        <v/>
      </c>
      <c r="I4" s="2">
        <f>IFERROR(ROUND(AVERAGEIFS(일일교반!$L:$L,일일교반!$A:$A,"&gt;="&amp;A4,일일교반!$A:$A,"&lt;="&amp;B4,일일교반!$C:$C,C4),1),"")</f>
        <v/>
      </c>
      <c r="J4" s="2">
        <f>IFERROR(ROUND(AVERAGEIFS(일일교반!$M:$M,일일교반!$A:$A,"&gt;="&amp;A4,일일교반!$A:$A,"&lt;="&amp;B4,일일교반!$C:$C,C4),1),"")</f>
        <v/>
      </c>
      <c r="K4" s="2">
        <f>SUMIFS(일일교반!$O:$O,일일교반!$A:$A,"&gt;="&amp;A4,일일교반!$A:$A,"&lt;="&amp;B4,일일교반!$C:$C,C4)</f>
        <v/>
      </c>
      <c r="L4" s="2">
        <f>SUMIFS(일일교반!$P:$P,일일교반!$A:$A,"&gt;="&amp;A4,일일교반!$A:$A,"&lt;="&amp;B4,일일교반!$C:$C,C4)</f>
        <v/>
      </c>
      <c r="M4" s="2">
        <f>SUMIFS(일일교반!$Q:$Q,일일교반!$A:$A,"&gt;="&amp;A4,일일교반!$A:$A,"&lt;="&amp;B4,일일교반!$C:$C,C4)</f>
        <v/>
      </c>
      <c r="N4" s="2">
        <f>COUNTIFS(일일교반!$A:$A,"&gt;="&amp;A4,일일교반!$A:$A,"&lt;="&amp;B4,일일교반!$C:$C,C4,일일교반!$S:$S,"Y")</f>
        <v/>
      </c>
    </row>
    <row r="5">
      <c r="A5" s="7">
        <f>DATE(2026,11,9)+7</f>
        <v/>
      </c>
      <c r="B5" s="7">
        <f>A5+6</f>
        <v/>
      </c>
      <c r="C5" s="2" t="inlineStr">
        <is>
          <t>착유장</t>
        </is>
      </c>
      <c r="D5" s="2">
        <f>COUNTIFS(일일교반!$A:$A,"&gt;="&amp;A5,일일교반!$A:$A,"&lt;="&amp;B5,일일교반!$C:$C,C5)</f>
        <v/>
      </c>
      <c r="E5" s="2">
        <f>IFERROR(ROUND(AVERAGEIFS(일일교반!$F:$F,일일교반!$A:$A,"&gt;="&amp;A5,일일교반!$A:$A,"&lt;="&amp;B5,일일교반!$C:$C,C5),1),"")</f>
        <v/>
      </c>
      <c r="F5" s="2">
        <f>IFERROR(ROUND(AVERAGEIFS(일일교반!$V:$V,일일교반!$A:$A,"&gt;="&amp;A5,일일교반!$A:$A,"&lt;="&amp;B5,일일교반!$C:$C,C5),1),"")</f>
        <v/>
      </c>
      <c r="G5" s="2">
        <f>IFERROR(ROUND(AVERAGEIFS(일일교반!$W:$W,일일교반!$A:$A,"&gt;="&amp;A5,일일교반!$A:$A,"&lt;="&amp;B5,일일교반!$C:$C,C5),1),"")</f>
        <v/>
      </c>
      <c r="H5" s="2">
        <f>IFERROR(ROUND(AVERAGEIFS(일일교반!$J:$J,일일교반!$A:$A,"&gt;="&amp;A5,일일교반!$A:$A,"&lt;="&amp;B5,일일교반!$C:$C,C5),1),"")</f>
        <v/>
      </c>
      <c r="I5" s="2">
        <f>IFERROR(ROUND(AVERAGEIFS(일일교반!$L:$L,일일교반!$A:$A,"&gt;="&amp;A5,일일교반!$A:$A,"&lt;="&amp;B5,일일교반!$C:$C,C5),1),"")</f>
        <v/>
      </c>
      <c r="J5" s="2">
        <f>IFERROR(ROUND(AVERAGEIFS(일일교반!$M:$M,일일교반!$A:$A,"&gt;="&amp;A5,일일교반!$A:$A,"&lt;="&amp;B5,일일교반!$C:$C,C5),1),"")</f>
        <v/>
      </c>
      <c r="K5" s="2">
        <f>SUMIFS(일일교반!$O:$O,일일교반!$A:$A,"&gt;="&amp;A5,일일교반!$A:$A,"&lt;="&amp;B5,일일교반!$C:$C,C5)</f>
        <v/>
      </c>
      <c r="L5" s="2">
        <f>SUMIFS(일일교반!$P:$P,일일교반!$A:$A,"&gt;="&amp;A5,일일교반!$A:$A,"&lt;="&amp;B5,일일교반!$C:$C,C5)</f>
        <v/>
      </c>
      <c r="M5" s="2">
        <f>SUMIFS(일일교반!$Q:$Q,일일교반!$A:$A,"&gt;="&amp;A5,일일교반!$A:$A,"&lt;="&amp;B5,일일교반!$C:$C,C5)</f>
        <v/>
      </c>
      <c r="N5" s="2">
        <f>COUNTIFS(일일교반!$A:$A,"&gt;="&amp;A5,일일교반!$A:$A,"&lt;="&amp;B5,일일교반!$C:$C,C5,일일교반!$S:$S,"Y")</f>
        <v/>
      </c>
    </row>
    <row r="6">
      <c r="A6" s="7">
        <f>DATE(2026,11,9)+14</f>
        <v/>
      </c>
      <c r="B6" s="7">
        <f>A6+6</f>
        <v/>
      </c>
      <c r="C6" s="2" t="inlineStr">
        <is>
          <t>건유·육성우동</t>
        </is>
      </c>
      <c r="D6" s="2">
        <f>COUNTIFS(일일교반!$A:$A,"&gt;="&amp;A6,일일교반!$A:$A,"&lt;="&amp;B6,일일교반!$C:$C,C6)</f>
        <v/>
      </c>
      <c r="E6" s="2">
        <f>IFERROR(ROUND(AVERAGEIFS(일일교반!$F:$F,일일교반!$A:$A,"&gt;="&amp;A6,일일교반!$A:$A,"&lt;="&amp;B6,일일교반!$C:$C,C6),1),"")</f>
        <v/>
      </c>
      <c r="F6" s="2">
        <f>IFERROR(ROUND(AVERAGEIFS(일일교반!$V:$V,일일교반!$A:$A,"&gt;="&amp;A6,일일교반!$A:$A,"&lt;="&amp;B6,일일교반!$C:$C,C6),1),"")</f>
        <v/>
      </c>
      <c r="G6" s="2">
        <f>IFERROR(ROUND(AVERAGEIFS(일일교반!$W:$W,일일교반!$A:$A,"&gt;="&amp;A6,일일교반!$A:$A,"&lt;="&amp;B6,일일교반!$C:$C,C6),1),"")</f>
        <v/>
      </c>
      <c r="H6" s="2">
        <f>IFERROR(ROUND(AVERAGEIFS(일일교반!$J:$J,일일교반!$A:$A,"&gt;="&amp;A6,일일교반!$A:$A,"&lt;="&amp;B6,일일교반!$C:$C,C6),1),"")</f>
        <v/>
      </c>
      <c r="I6" s="2">
        <f>IFERROR(ROUND(AVERAGEIFS(일일교반!$L:$L,일일교반!$A:$A,"&gt;="&amp;A6,일일교반!$A:$A,"&lt;="&amp;B6,일일교반!$C:$C,C6),1),"")</f>
        <v/>
      </c>
      <c r="J6" s="2">
        <f>IFERROR(ROUND(AVERAGEIFS(일일교반!$M:$M,일일교반!$A:$A,"&gt;="&amp;A6,일일교반!$A:$A,"&lt;="&amp;B6,일일교반!$C:$C,C6),1),"")</f>
        <v/>
      </c>
      <c r="K6" s="2">
        <f>SUMIFS(일일교반!$O:$O,일일교반!$A:$A,"&gt;="&amp;A6,일일교반!$A:$A,"&lt;="&amp;B6,일일교반!$C:$C,C6)</f>
        <v/>
      </c>
      <c r="L6" s="2">
        <f>SUMIFS(일일교반!$P:$P,일일교반!$A:$A,"&gt;="&amp;A6,일일교반!$A:$A,"&lt;="&amp;B6,일일교반!$C:$C,C6)</f>
        <v/>
      </c>
      <c r="M6" s="2">
        <f>SUMIFS(일일교반!$Q:$Q,일일교반!$A:$A,"&gt;="&amp;A6,일일교반!$A:$A,"&lt;="&amp;B6,일일교반!$C:$C,C6)</f>
        <v/>
      </c>
      <c r="N6" s="2">
        <f>COUNTIFS(일일교반!$A:$A,"&gt;="&amp;A6,일일교반!$A:$A,"&lt;="&amp;B6,일일교반!$C:$C,C6,일일교반!$S:$S,"Y")</f>
        <v/>
      </c>
    </row>
    <row r="7">
      <c r="A7" s="7">
        <f>DATE(2026,11,9)+14</f>
        <v/>
      </c>
      <c r="B7" s="7">
        <f>A7+6</f>
        <v/>
      </c>
      <c r="C7" s="2" t="inlineStr">
        <is>
          <t>착유장</t>
        </is>
      </c>
      <c r="D7" s="2">
        <f>COUNTIFS(일일교반!$A:$A,"&gt;="&amp;A7,일일교반!$A:$A,"&lt;="&amp;B7,일일교반!$C:$C,C7)</f>
        <v/>
      </c>
      <c r="E7" s="2">
        <f>IFERROR(ROUND(AVERAGEIFS(일일교반!$F:$F,일일교반!$A:$A,"&gt;="&amp;A7,일일교반!$A:$A,"&lt;="&amp;B7,일일교반!$C:$C,C7),1),"")</f>
        <v/>
      </c>
      <c r="F7" s="2">
        <f>IFERROR(ROUND(AVERAGEIFS(일일교반!$V:$V,일일교반!$A:$A,"&gt;="&amp;A7,일일교반!$A:$A,"&lt;="&amp;B7,일일교반!$C:$C,C7),1),"")</f>
        <v/>
      </c>
      <c r="G7" s="2">
        <f>IFERROR(ROUND(AVERAGEIFS(일일교반!$W:$W,일일교반!$A:$A,"&gt;="&amp;A7,일일교반!$A:$A,"&lt;="&amp;B7,일일교반!$C:$C,C7),1),"")</f>
        <v/>
      </c>
      <c r="H7" s="2">
        <f>IFERROR(ROUND(AVERAGEIFS(일일교반!$J:$J,일일교반!$A:$A,"&gt;="&amp;A7,일일교반!$A:$A,"&lt;="&amp;B7,일일교반!$C:$C,C7),1),"")</f>
        <v/>
      </c>
      <c r="I7" s="2">
        <f>IFERROR(ROUND(AVERAGEIFS(일일교반!$L:$L,일일교반!$A:$A,"&gt;="&amp;A7,일일교반!$A:$A,"&lt;="&amp;B7,일일교반!$C:$C,C7),1),"")</f>
        <v/>
      </c>
      <c r="J7" s="2">
        <f>IFERROR(ROUND(AVERAGEIFS(일일교반!$M:$M,일일교반!$A:$A,"&gt;="&amp;A7,일일교반!$A:$A,"&lt;="&amp;B7,일일교반!$C:$C,C7),1),"")</f>
        <v/>
      </c>
      <c r="K7" s="2">
        <f>SUMIFS(일일교반!$O:$O,일일교반!$A:$A,"&gt;="&amp;A7,일일교반!$A:$A,"&lt;="&amp;B7,일일교반!$C:$C,C7)</f>
        <v/>
      </c>
      <c r="L7" s="2">
        <f>SUMIFS(일일교반!$P:$P,일일교반!$A:$A,"&gt;="&amp;A7,일일교반!$A:$A,"&lt;="&amp;B7,일일교반!$C:$C,C7)</f>
        <v/>
      </c>
      <c r="M7" s="2">
        <f>SUMIFS(일일교반!$Q:$Q,일일교반!$A:$A,"&gt;="&amp;A7,일일교반!$A:$A,"&lt;="&amp;B7,일일교반!$C:$C,C7)</f>
        <v/>
      </c>
      <c r="N7" s="2">
        <f>COUNTIFS(일일교반!$A:$A,"&gt;="&amp;A7,일일교반!$A:$A,"&lt;="&amp;B7,일일교반!$C:$C,C7,일일교반!$S:$S,"Y")</f>
        <v/>
      </c>
    </row>
    <row r="8">
      <c r="A8" s="7">
        <f>DATE(2026,11,9)+21</f>
        <v/>
      </c>
      <c r="B8" s="7">
        <f>A8+6</f>
        <v/>
      </c>
      <c r="C8" s="2" t="inlineStr">
        <is>
          <t>건유·육성우동</t>
        </is>
      </c>
      <c r="D8" s="2">
        <f>COUNTIFS(일일교반!$A:$A,"&gt;="&amp;A8,일일교반!$A:$A,"&lt;="&amp;B8,일일교반!$C:$C,C8)</f>
        <v/>
      </c>
      <c r="E8" s="2">
        <f>IFERROR(ROUND(AVERAGEIFS(일일교반!$F:$F,일일교반!$A:$A,"&gt;="&amp;A8,일일교반!$A:$A,"&lt;="&amp;B8,일일교반!$C:$C,C8),1),"")</f>
        <v/>
      </c>
      <c r="F8" s="2">
        <f>IFERROR(ROUND(AVERAGEIFS(일일교반!$V:$V,일일교반!$A:$A,"&gt;="&amp;A8,일일교반!$A:$A,"&lt;="&amp;B8,일일교반!$C:$C,C8),1),"")</f>
        <v/>
      </c>
      <c r="G8" s="2">
        <f>IFERROR(ROUND(AVERAGEIFS(일일교반!$W:$W,일일교반!$A:$A,"&gt;="&amp;A8,일일교반!$A:$A,"&lt;="&amp;B8,일일교반!$C:$C,C8),1),"")</f>
        <v/>
      </c>
      <c r="H8" s="2">
        <f>IFERROR(ROUND(AVERAGEIFS(일일교반!$J:$J,일일교반!$A:$A,"&gt;="&amp;A8,일일교반!$A:$A,"&lt;="&amp;B8,일일교반!$C:$C,C8),1),"")</f>
        <v/>
      </c>
      <c r="I8" s="2">
        <f>IFERROR(ROUND(AVERAGEIFS(일일교반!$L:$L,일일교반!$A:$A,"&gt;="&amp;A8,일일교반!$A:$A,"&lt;="&amp;B8,일일교반!$C:$C,C8),1),"")</f>
        <v/>
      </c>
      <c r="J8" s="2">
        <f>IFERROR(ROUND(AVERAGEIFS(일일교반!$M:$M,일일교반!$A:$A,"&gt;="&amp;A8,일일교반!$A:$A,"&lt;="&amp;B8,일일교반!$C:$C,C8),1),"")</f>
        <v/>
      </c>
      <c r="K8" s="2">
        <f>SUMIFS(일일교반!$O:$O,일일교반!$A:$A,"&gt;="&amp;A8,일일교반!$A:$A,"&lt;="&amp;B8,일일교반!$C:$C,C8)</f>
        <v/>
      </c>
      <c r="L8" s="2">
        <f>SUMIFS(일일교반!$P:$P,일일교반!$A:$A,"&gt;="&amp;A8,일일교반!$A:$A,"&lt;="&amp;B8,일일교반!$C:$C,C8)</f>
        <v/>
      </c>
      <c r="M8" s="2">
        <f>SUMIFS(일일교반!$Q:$Q,일일교반!$A:$A,"&gt;="&amp;A8,일일교반!$A:$A,"&lt;="&amp;B8,일일교반!$C:$C,C8)</f>
        <v/>
      </c>
      <c r="N8" s="2">
        <f>COUNTIFS(일일교반!$A:$A,"&gt;="&amp;A8,일일교반!$A:$A,"&lt;="&amp;B8,일일교반!$C:$C,C8,일일교반!$S:$S,"Y")</f>
        <v/>
      </c>
    </row>
    <row r="9">
      <c r="A9" s="7">
        <f>DATE(2026,11,9)+21</f>
        <v/>
      </c>
      <c r="B9" s="7">
        <f>A9+6</f>
        <v/>
      </c>
      <c r="C9" s="2" t="inlineStr">
        <is>
          <t>착유장</t>
        </is>
      </c>
      <c r="D9" s="2">
        <f>COUNTIFS(일일교반!$A:$A,"&gt;="&amp;A9,일일교반!$A:$A,"&lt;="&amp;B9,일일교반!$C:$C,C9)</f>
        <v/>
      </c>
      <c r="E9" s="2">
        <f>IFERROR(ROUND(AVERAGEIFS(일일교반!$F:$F,일일교반!$A:$A,"&gt;="&amp;A9,일일교반!$A:$A,"&lt;="&amp;B9,일일교반!$C:$C,C9),1),"")</f>
        <v/>
      </c>
      <c r="F9" s="2">
        <f>IFERROR(ROUND(AVERAGEIFS(일일교반!$V:$V,일일교반!$A:$A,"&gt;="&amp;A9,일일교반!$A:$A,"&lt;="&amp;B9,일일교반!$C:$C,C9),1),"")</f>
        <v/>
      </c>
      <c r="G9" s="2">
        <f>IFERROR(ROUND(AVERAGEIFS(일일교반!$W:$W,일일교반!$A:$A,"&gt;="&amp;A9,일일교반!$A:$A,"&lt;="&amp;B9,일일교반!$C:$C,C9),1),"")</f>
        <v/>
      </c>
      <c r="H9" s="2">
        <f>IFERROR(ROUND(AVERAGEIFS(일일교반!$J:$J,일일교반!$A:$A,"&gt;="&amp;A9,일일교반!$A:$A,"&lt;="&amp;B9,일일교반!$C:$C,C9),1),"")</f>
        <v/>
      </c>
      <c r="I9" s="2">
        <f>IFERROR(ROUND(AVERAGEIFS(일일교반!$L:$L,일일교반!$A:$A,"&gt;="&amp;A9,일일교반!$A:$A,"&lt;="&amp;B9,일일교반!$C:$C,C9),1),"")</f>
        <v/>
      </c>
      <c r="J9" s="2">
        <f>IFERROR(ROUND(AVERAGEIFS(일일교반!$M:$M,일일교반!$A:$A,"&gt;="&amp;A9,일일교반!$A:$A,"&lt;="&amp;B9,일일교반!$C:$C,C9),1),"")</f>
        <v/>
      </c>
      <c r="K9" s="2">
        <f>SUMIFS(일일교반!$O:$O,일일교반!$A:$A,"&gt;="&amp;A9,일일교반!$A:$A,"&lt;="&amp;B9,일일교반!$C:$C,C9)</f>
        <v/>
      </c>
      <c r="L9" s="2">
        <f>SUMIFS(일일교반!$P:$P,일일교반!$A:$A,"&gt;="&amp;A9,일일교반!$A:$A,"&lt;="&amp;B9,일일교반!$C:$C,C9)</f>
        <v/>
      </c>
      <c r="M9" s="2">
        <f>SUMIFS(일일교반!$Q:$Q,일일교반!$A:$A,"&gt;="&amp;A9,일일교반!$A:$A,"&lt;="&amp;B9,일일교반!$C:$C,C9)</f>
        <v/>
      </c>
      <c r="N9" s="2">
        <f>COUNTIFS(일일교반!$A:$A,"&gt;="&amp;A9,일일교반!$A:$A,"&lt;="&amp;B9,일일교반!$C:$C,C9,일일교반!$S:$S,"Y")</f>
        <v/>
      </c>
    </row>
    <row r="10">
      <c r="A10" s="7">
        <f>DATE(2026,11,9)+28</f>
        <v/>
      </c>
      <c r="B10" s="7">
        <f>A10+6</f>
        <v/>
      </c>
      <c r="C10" s="2" t="inlineStr">
        <is>
          <t>건유·육성우동</t>
        </is>
      </c>
      <c r="D10" s="2">
        <f>COUNTIFS(일일교반!$A:$A,"&gt;="&amp;A10,일일교반!$A:$A,"&lt;="&amp;B10,일일교반!$C:$C,C10)</f>
        <v/>
      </c>
      <c r="E10" s="2">
        <f>IFERROR(ROUND(AVERAGEIFS(일일교반!$F:$F,일일교반!$A:$A,"&gt;="&amp;A10,일일교반!$A:$A,"&lt;="&amp;B10,일일교반!$C:$C,C10),1),"")</f>
        <v/>
      </c>
      <c r="F10" s="2">
        <f>IFERROR(ROUND(AVERAGEIFS(일일교반!$V:$V,일일교반!$A:$A,"&gt;="&amp;A10,일일교반!$A:$A,"&lt;="&amp;B10,일일교반!$C:$C,C10),1),"")</f>
        <v/>
      </c>
      <c r="G10" s="2">
        <f>IFERROR(ROUND(AVERAGEIFS(일일교반!$W:$W,일일교반!$A:$A,"&gt;="&amp;A10,일일교반!$A:$A,"&lt;="&amp;B10,일일교반!$C:$C,C10),1),"")</f>
        <v/>
      </c>
      <c r="H10" s="2">
        <f>IFERROR(ROUND(AVERAGEIFS(일일교반!$J:$J,일일교반!$A:$A,"&gt;="&amp;A10,일일교반!$A:$A,"&lt;="&amp;B10,일일교반!$C:$C,C10),1),"")</f>
        <v/>
      </c>
      <c r="I10" s="2">
        <f>IFERROR(ROUND(AVERAGEIFS(일일교반!$L:$L,일일교반!$A:$A,"&gt;="&amp;A10,일일교반!$A:$A,"&lt;="&amp;B10,일일교반!$C:$C,C10),1),"")</f>
        <v/>
      </c>
      <c r="J10" s="2">
        <f>IFERROR(ROUND(AVERAGEIFS(일일교반!$M:$M,일일교반!$A:$A,"&gt;="&amp;A10,일일교반!$A:$A,"&lt;="&amp;B10,일일교반!$C:$C,C10),1),"")</f>
        <v/>
      </c>
      <c r="K10" s="2">
        <f>SUMIFS(일일교반!$O:$O,일일교반!$A:$A,"&gt;="&amp;A10,일일교반!$A:$A,"&lt;="&amp;B10,일일교반!$C:$C,C10)</f>
        <v/>
      </c>
      <c r="L10" s="2">
        <f>SUMIFS(일일교반!$P:$P,일일교반!$A:$A,"&gt;="&amp;A10,일일교반!$A:$A,"&lt;="&amp;B10,일일교반!$C:$C,C10)</f>
        <v/>
      </c>
      <c r="M10" s="2">
        <f>SUMIFS(일일교반!$Q:$Q,일일교반!$A:$A,"&gt;="&amp;A10,일일교반!$A:$A,"&lt;="&amp;B10,일일교반!$C:$C,C10)</f>
        <v/>
      </c>
      <c r="N10" s="2">
        <f>COUNTIFS(일일교반!$A:$A,"&gt;="&amp;A10,일일교반!$A:$A,"&lt;="&amp;B10,일일교반!$C:$C,C10,일일교반!$S:$S,"Y")</f>
        <v/>
      </c>
    </row>
    <row r="11">
      <c r="A11" s="7">
        <f>DATE(2026,11,9)+28</f>
        <v/>
      </c>
      <c r="B11" s="7">
        <f>A11+6</f>
        <v/>
      </c>
      <c r="C11" s="2" t="inlineStr">
        <is>
          <t>착유장</t>
        </is>
      </c>
      <c r="D11" s="2">
        <f>COUNTIFS(일일교반!$A:$A,"&gt;="&amp;A11,일일교반!$A:$A,"&lt;="&amp;B11,일일교반!$C:$C,C11)</f>
        <v/>
      </c>
      <c r="E11" s="2">
        <f>IFERROR(ROUND(AVERAGEIFS(일일교반!$F:$F,일일교반!$A:$A,"&gt;="&amp;A11,일일교반!$A:$A,"&lt;="&amp;B11,일일교반!$C:$C,C11),1),"")</f>
        <v/>
      </c>
      <c r="F11" s="2">
        <f>IFERROR(ROUND(AVERAGEIFS(일일교반!$V:$V,일일교반!$A:$A,"&gt;="&amp;A11,일일교반!$A:$A,"&lt;="&amp;B11,일일교반!$C:$C,C11),1),"")</f>
        <v/>
      </c>
      <c r="G11" s="2">
        <f>IFERROR(ROUND(AVERAGEIFS(일일교반!$W:$W,일일교반!$A:$A,"&gt;="&amp;A11,일일교반!$A:$A,"&lt;="&amp;B11,일일교반!$C:$C,C11),1),"")</f>
        <v/>
      </c>
      <c r="H11" s="2">
        <f>IFERROR(ROUND(AVERAGEIFS(일일교반!$J:$J,일일교반!$A:$A,"&gt;="&amp;A11,일일교반!$A:$A,"&lt;="&amp;B11,일일교반!$C:$C,C11),1),"")</f>
        <v/>
      </c>
      <c r="I11" s="2">
        <f>IFERROR(ROUND(AVERAGEIFS(일일교반!$L:$L,일일교반!$A:$A,"&gt;="&amp;A11,일일교반!$A:$A,"&lt;="&amp;B11,일일교반!$C:$C,C11),1),"")</f>
        <v/>
      </c>
      <c r="J11" s="2">
        <f>IFERROR(ROUND(AVERAGEIFS(일일교반!$M:$M,일일교반!$A:$A,"&gt;="&amp;A11,일일교반!$A:$A,"&lt;="&amp;B11,일일교반!$C:$C,C11),1),"")</f>
        <v/>
      </c>
      <c r="K11" s="2">
        <f>SUMIFS(일일교반!$O:$O,일일교반!$A:$A,"&gt;="&amp;A11,일일교반!$A:$A,"&lt;="&amp;B11,일일교반!$C:$C,C11)</f>
        <v/>
      </c>
      <c r="L11" s="2">
        <f>SUMIFS(일일교반!$P:$P,일일교반!$A:$A,"&gt;="&amp;A11,일일교반!$A:$A,"&lt;="&amp;B11,일일교반!$C:$C,C11)</f>
        <v/>
      </c>
      <c r="M11" s="2">
        <f>SUMIFS(일일교반!$Q:$Q,일일교반!$A:$A,"&gt;="&amp;A11,일일교반!$A:$A,"&lt;="&amp;B11,일일교반!$C:$C,C11)</f>
        <v/>
      </c>
      <c r="N11" s="2">
        <f>COUNTIFS(일일교반!$A:$A,"&gt;="&amp;A11,일일교반!$A:$A,"&lt;="&amp;B11,일일교반!$C:$C,C11,일일교반!$S:$S,"Y")</f>
        <v/>
      </c>
    </row>
    <row r="12">
      <c r="A12" s="7">
        <f>DATE(2026,11,9)+35</f>
        <v/>
      </c>
      <c r="B12" s="7">
        <f>A12+6</f>
        <v/>
      </c>
      <c r="C12" s="2" t="inlineStr">
        <is>
          <t>건유·육성우동</t>
        </is>
      </c>
      <c r="D12" s="2">
        <f>COUNTIFS(일일교반!$A:$A,"&gt;="&amp;A12,일일교반!$A:$A,"&lt;="&amp;B12,일일교반!$C:$C,C12)</f>
        <v/>
      </c>
      <c r="E12" s="2">
        <f>IFERROR(ROUND(AVERAGEIFS(일일교반!$F:$F,일일교반!$A:$A,"&gt;="&amp;A12,일일교반!$A:$A,"&lt;="&amp;B12,일일교반!$C:$C,C12),1),"")</f>
        <v/>
      </c>
      <c r="F12" s="2">
        <f>IFERROR(ROUND(AVERAGEIFS(일일교반!$V:$V,일일교반!$A:$A,"&gt;="&amp;A12,일일교반!$A:$A,"&lt;="&amp;B12,일일교반!$C:$C,C12),1),"")</f>
        <v/>
      </c>
      <c r="G12" s="2">
        <f>IFERROR(ROUND(AVERAGEIFS(일일교반!$W:$W,일일교반!$A:$A,"&gt;="&amp;A12,일일교반!$A:$A,"&lt;="&amp;B12,일일교반!$C:$C,C12),1),"")</f>
        <v/>
      </c>
      <c r="H12" s="2">
        <f>IFERROR(ROUND(AVERAGEIFS(일일교반!$J:$J,일일교반!$A:$A,"&gt;="&amp;A12,일일교반!$A:$A,"&lt;="&amp;B12,일일교반!$C:$C,C12),1),"")</f>
        <v/>
      </c>
      <c r="I12" s="2">
        <f>IFERROR(ROUND(AVERAGEIFS(일일교반!$L:$L,일일교반!$A:$A,"&gt;="&amp;A12,일일교반!$A:$A,"&lt;="&amp;B12,일일교반!$C:$C,C12),1),"")</f>
        <v/>
      </c>
      <c r="J12" s="2">
        <f>IFERROR(ROUND(AVERAGEIFS(일일교반!$M:$M,일일교반!$A:$A,"&gt;="&amp;A12,일일교반!$A:$A,"&lt;="&amp;B12,일일교반!$C:$C,C12),1),"")</f>
        <v/>
      </c>
      <c r="K12" s="2">
        <f>SUMIFS(일일교반!$O:$O,일일교반!$A:$A,"&gt;="&amp;A12,일일교반!$A:$A,"&lt;="&amp;B12,일일교반!$C:$C,C12)</f>
        <v/>
      </c>
      <c r="L12" s="2">
        <f>SUMIFS(일일교반!$P:$P,일일교반!$A:$A,"&gt;="&amp;A12,일일교반!$A:$A,"&lt;="&amp;B12,일일교반!$C:$C,C12)</f>
        <v/>
      </c>
      <c r="M12" s="2">
        <f>SUMIFS(일일교반!$Q:$Q,일일교반!$A:$A,"&gt;="&amp;A12,일일교반!$A:$A,"&lt;="&amp;B12,일일교반!$C:$C,C12)</f>
        <v/>
      </c>
      <c r="N12" s="2">
        <f>COUNTIFS(일일교반!$A:$A,"&gt;="&amp;A12,일일교반!$A:$A,"&lt;="&amp;B12,일일교반!$C:$C,C12,일일교반!$S:$S,"Y")</f>
        <v/>
      </c>
    </row>
    <row r="13">
      <c r="A13" s="7">
        <f>DATE(2026,11,9)+35</f>
        <v/>
      </c>
      <c r="B13" s="7">
        <f>A13+6</f>
        <v/>
      </c>
      <c r="C13" s="2" t="inlineStr">
        <is>
          <t>착유장</t>
        </is>
      </c>
      <c r="D13" s="2">
        <f>COUNTIFS(일일교반!$A:$A,"&gt;="&amp;A13,일일교반!$A:$A,"&lt;="&amp;B13,일일교반!$C:$C,C13)</f>
        <v/>
      </c>
      <c r="E13" s="2">
        <f>IFERROR(ROUND(AVERAGEIFS(일일교반!$F:$F,일일교반!$A:$A,"&gt;="&amp;A13,일일교반!$A:$A,"&lt;="&amp;B13,일일교반!$C:$C,C13),1),"")</f>
        <v/>
      </c>
      <c r="F13" s="2">
        <f>IFERROR(ROUND(AVERAGEIFS(일일교반!$V:$V,일일교반!$A:$A,"&gt;="&amp;A13,일일교반!$A:$A,"&lt;="&amp;B13,일일교반!$C:$C,C13),1),"")</f>
        <v/>
      </c>
      <c r="G13" s="2">
        <f>IFERROR(ROUND(AVERAGEIFS(일일교반!$W:$W,일일교반!$A:$A,"&gt;="&amp;A13,일일교반!$A:$A,"&lt;="&amp;B13,일일교반!$C:$C,C13),1),"")</f>
        <v/>
      </c>
      <c r="H13" s="2">
        <f>IFERROR(ROUND(AVERAGEIFS(일일교반!$J:$J,일일교반!$A:$A,"&gt;="&amp;A13,일일교반!$A:$A,"&lt;="&amp;B13,일일교반!$C:$C,C13),1),"")</f>
        <v/>
      </c>
      <c r="I13" s="2">
        <f>IFERROR(ROUND(AVERAGEIFS(일일교반!$L:$L,일일교반!$A:$A,"&gt;="&amp;A13,일일교반!$A:$A,"&lt;="&amp;B13,일일교반!$C:$C,C13),1),"")</f>
        <v/>
      </c>
      <c r="J13" s="2">
        <f>IFERROR(ROUND(AVERAGEIFS(일일교반!$M:$M,일일교반!$A:$A,"&gt;="&amp;A13,일일교반!$A:$A,"&lt;="&amp;B13,일일교반!$C:$C,C13),1),"")</f>
        <v/>
      </c>
      <c r="K13" s="2">
        <f>SUMIFS(일일교반!$O:$O,일일교반!$A:$A,"&gt;="&amp;A13,일일교반!$A:$A,"&lt;="&amp;B13,일일교반!$C:$C,C13)</f>
        <v/>
      </c>
      <c r="L13" s="2">
        <f>SUMIFS(일일교반!$P:$P,일일교반!$A:$A,"&gt;="&amp;A13,일일교반!$A:$A,"&lt;="&amp;B13,일일교반!$C:$C,C13)</f>
        <v/>
      </c>
      <c r="M13" s="2">
        <f>SUMIFS(일일교반!$Q:$Q,일일교반!$A:$A,"&gt;="&amp;A13,일일교반!$A:$A,"&lt;="&amp;B13,일일교반!$C:$C,C13)</f>
        <v/>
      </c>
      <c r="N13" s="2">
        <f>COUNTIFS(일일교반!$A:$A,"&gt;="&amp;A13,일일교반!$A:$A,"&lt;="&amp;B13,일일교반!$C:$C,C13,일일교반!$S:$S,"Y")</f>
        <v/>
      </c>
    </row>
    <row r="14">
      <c r="A14" s="7">
        <f>DATE(2026,11,9)+42</f>
        <v/>
      </c>
      <c r="B14" s="7">
        <f>A14+6</f>
        <v/>
      </c>
      <c r="C14" s="2" t="inlineStr">
        <is>
          <t>건유·육성우동</t>
        </is>
      </c>
      <c r="D14" s="2">
        <f>COUNTIFS(일일교반!$A:$A,"&gt;="&amp;A14,일일교반!$A:$A,"&lt;="&amp;B14,일일교반!$C:$C,C14)</f>
        <v/>
      </c>
      <c r="E14" s="2">
        <f>IFERROR(ROUND(AVERAGEIFS(일일교반!$F:$F,일일교반!$A:$A,"&gt;="&amp;A14,일일교반!$A:$A,"&lt;="&amp;B14,일일교반!$C:$C,C14),1),"")</f>
        <v/>
      </c>
      <c r="F14" s="2">
        <f>IFERROR(ROUND(AVERAGEIFS(일일교반!$V:$V,일일교반!$A:$A,"&gt;="&amp;A14,일일교반!$A:$A,"&lt;="&amp;B14,일일교반!$C:$C,C14),1),"")</f>
        <v/>
      </c>
      <c r="G14" s="2">
        <f>IFERROR(ROUND(AVERAGEIFS(일일교반!$W:$W,일일교반!$A:$A,"&gt;="&amp;A14,일일교반!$A:$A,"&lt;="&amp;B14,일일교반!$C:$C,C14),1),"")</f>
        <v/>
      </c>
      <c r="H14" s="2">
        <f>IFERROR(ROUND(AVERAGEIFS(일일교반!$J:$J,일일교반!$A:$A,"&gt;="&amp;A14,일일교반!$A:$A,"&lt;="&amp;B14,일일교반!$C:$C,C14),1),"")</f>
        <v/>
      </c>
      <c r="I14" s="2">
        <f>IFERROR(ROUND(AVERAGEIFS(일일교반!$L:$L,일일교반!$A:$A,"&gt;="&amp;A14,일일교반!$A:$A,"&lt;="&amp;B14,일일교반!$C:$C,C14),1),"")</f>
        <v/>
      </c>
      <c r="J14" s="2">
        <f>IFERROR(ROUND(AVERAGEIFS(일일교반!$M:$M,일일교반!$A:$A,"&gt;="&amp;A14,일일교반!$A:$A,"&lt;="&amp;B14,일일교반!$C:$C,C14),1),"")</f>
        <v/>
      </c>
      <c r="K14" s="2">
        <f>SUMIFS(일일교반!$O:$O,일일교반!$A:$A,"&gt;="&amp;A14,일일교반!$A:$A,"&lt;="&amp;B14,일일교반!$C:$C,C14)</f>
        <v/>
      </c>
      <c r="L14" s="2">
        <f>SUMIFS(일일교반!$P:$P,일일교반!$A:$A,"&gt;="&amp;A14,일일교반!$A:$A,"&lt;="&amp;B14,일일교반!$C:$C,C14)</f>
        <v/>
      </c>
      <c r="M14" s="2">
        <f>SUMIFS(일일교반!$Q:$Q,일일교반!$A:$A,"&gt;="&amp;A14,일일교반!$A:$A,"&lt;="&amp;B14,일일교반!$C:$C,C14)</f>
        <v/>
      </c>
      <c r="N14" s="2">
        <f>COUNTIFS(일일교반!$A:$A,"&gt;="&amp;A14,일일교반!$A:$A,"&lt;="&amp;B14,일일교반!$C:$C,C14,일일교반!$S:$S,"Y")</f>
        <v/>
      </c>
    </row>
    <row r="15">
      <c r="A15" s="7">
        <f>DATE(2026,11,9)+42</f>
        <v/>
      </c>
      <c r="B15" s="7">
        <f>A15+6</f>
        <v/>
      </c>
      <c r="C15" s="2" t="inlineStr">
        <is>
          <t>착유장</t>
        </is>
      </c>
      <c r="D15" s="2">
        <f>COUNTIFS(일일교반!$A:$A,"&gt;="&amp;A15,일일교반!$A:$A,"&lt;="&amp;B15,일일교반!$C:$C,C15)</f>
        <v/>
      </c>
      <c r="E15" s="2">
        <f>IFERROR(ROUND(AVERAGEIFS(일일교반!$F:$F,일일교반!$A:$A,"&gt;="&amp;A15,일일교반!$A:$A,"&lt;="&amp;B15,일일교반!$C:$C,C15),1),"")</f>
        <v/>
      </c>
      <c r="F15" s="2">
        <f>IFERROR(ROUND(AVERAGEIFS(일일교반!$V:$V,일일교반!$A:$A,"&gt;="&amp;A15,일일교반!$A:$A,"&lt;="&amp;B15,일일교반!$C:$C,C15),1),"")</f>
        <v/>
      </c>
      <c r="G15" s="2">
        <f>IFERROR(ROUND(AVERAGEIFS(일일교반!$W:$W,일일교반!$A:$A,"&gt;="&amp;A15,일일교반!$A:$A,"&lt;="&amp;B15,일일교반!$C:$C,C15),1),"")</f>
        <v/>
      </c>
      <c r="H15" s="2">
        <f>IFERROR(ROUND(AVERAGEIFS(일일교반!$J:$J,일일교반!$A:$A,"&gt;="&amp;A15,일일교반!$A:$A,"&lt;="&amp;B15,일일교반!$C:$C,C15),1),"")</f>
        <v/>
      </c>
      <c r="I15" s="2">
        <f>IFERROR(ROUND(AVERAGEIFS(일일교반!$L:$L,일일교반!$A:$A,"&gt;="&amp;A15,일일교반!$A:$A,"&lt;="&amp;B15,일일교반!$C:$C,C15),1),"")</f>
        <v/>
      </c>
      <c r="J15" s="2">
        <f>IFERROR(ROUND(AVERAGEIFS(일일교반!$M:$M,일일교반!$A:$A,"&gt;="&amp;A15,일일교반!$A:$A,"&lt;="&amp;B15,일일교반!$C:$C,C15),1),"")</f>
        <v/>
      </c>
      <c r="K15" s="2">
        <f>SUMIFS(일일교반!$O:$O,일일교반!$A:$A,"&gt;="&amp;A15,일일교반!$A:$A,"&lt;="&amp;B15,일일교반!$C:$C,C15)</f>
        <v/>
      </c>
      <c r="L15" s="2">
        <f>SUMIFS(일일교반!$P:$P,일일교반!$A:$A,"&gt;="&amp;A15,일일교반!$A:$A,"&lt;="&amp;B15,일일교반!$C:$C,C15)</f>
        <v/>
      </c>
      <c r="M15" s="2">
        <f>SUMIFS(일일교반!$Q:$Q,일일교반!$A:$A,"&gt;="&amp;A15,일일교반!$A:$A,"&lt;="&amp;B15,일일교반!$C:$C,C15)</f>
        <v/>
      </c>
      <c r="N15" s="2">
        <f>COUNTIFS(일일교반!$A:$A,"&gt;="&amp;A15,일일교반!$A:$A,"&lt;="&amp;B15,일일교반!$C:$C,C15,일일교반!$S:$S,"Y")</f>
        <v/>
      </c>
    </row>
    <row r="16">
      <c r="A16" s="7">
        <f>DATE(2026,11,9)+49</f>
        <v/>
      </c>
      <c r="B16" s="7">
        <f>A16+6</f>
        <v/>
      </c>
      <c r="C16" s="2" t="inlineStr">
        <is>
          <t>건유·육성우동</t>
        </is>
      </c>
      <c r="D16" s="2">
        <f>COUNTIFS(일일교반!$A:$A,"&gt;="&amp;A16,일일교반!$A:$A,"&lt;="&amp;B16,일일교반!$C:$C,C16)</f>
        <v/>
      </c>
      <c r="E16" s="2">
        <f>IFERROR(ROUND(AVERAGEIFS(일일교반!$F:$F,일일교반!$A:$A,"&gt;="&amp;A16,일일교반!$A:$A,"&lt;="&amp;B16,일일교반!$C:$C,C16),1),"")</f>
        <v/>
      </c>
      <c r="F16" s="2">
        <f>IFERROR(ROUND(AVERAGEIFS(일일교반!$V:$V,일일교반!$A:$A,"&gt;="&amp;A16,일일교반!$A:$A,"&lt;="&amp;B16,일일교반!$C:$C,C16),1),"")</f>
        <v/>
      </c>
      <c r="G16" s="2">
        <f>IFERROR(ROUND(AVERAGEIFS(일일교반!$W:$W,일일교반!$A:$A,"&gt;="&amp;A16,일일교반!$A:$A,"&lt;="&amp;B16,일일교반!$C:$C,C16),1),"")</f>
        <v/>
      </c>
      <c r="H16" s="2">
        <f>IFERROR(ROUND(AVERAGEIFS(일일교반!$J:$J,일일교반!$A:$A,"&gt;="&amp;A16,일일교반!$A:$A,"&lt;="&amp;B16,일일교반!$C:$C,C16),1),"")</f>
        <v/>
      </c>
      <c r="I16" s="2">
        <f>IFERROR(ROUND(AVERAGEIFS(일일교반!$L:$L,일일교반!$A:$A,"&gt;="&amp;A16,일일교반!$A:$A,"&lt;="&amp;B16,일일교반!$C:$C,C16),1),"")</f>
        <v/>
      </c>
      <c r="J16" s="2">
        <f>IFERROR(ROUND(AVERAGEIFS(일일교반!$M:$M,일일교반!$A:$A,"&gt;="&amp;A16,일일교반!$A:$A,"&lt;="&amp;B16,일일교반!$C:$C,C16),1),"")</f>
        <v/>
      </c>
      <c r="K16" s="2">
        <f>SUMIFS(일일교반!$O:$O,일일교반!$A:$A,"&gt;="&amp;A16,일일교반!$A:$A,"&lt;="&amp;B16,일일교반!$C:$C,C16)</f>
        <v/>
      </c>
      <c r="L16" s="2">
        <f>SUMIFS(일일교반!$P:$P,일일교반!$A:$A,"&gt;="&amp;A16,일일교반!$A:$A,"&lt;="&amp;B16,일일교반!$C:$C,C16)</f>
        <v/>
      </c>
      <c r="M16" s="2">
        <f>SUMIFS(일일교반!$Q:$Q,일일교반!$A:$A,"&gt;="&amp;A16,일일교반!$A:$A,"&lt;="&amp;B16,일일교반!$C:$C,C16)</f>
        <v/>
      </c>
      <c r="N16" s="2">
        <f>COUNTIFS(일일교반!$A:$A,"&gt;="&amp;A16,일일교반!$A:$A,"&lt;="&amp;B16,일일교반!$C:$C,C16,일일교반!$S:$S,"Y")</f>
        <v/>
      </c>
    </row>
    <row r="17">
      <c r="A17" s="7">
        <f>DATE(2026,11,9)+49</f>
        <v/>
      </c>
      <c r="B17" s="7">
        <f>A17+6</f>
        <v/>
      </c>
      <c r="C17" s="2" t="inlineStr">
        <is>
          <t>착유장</t>
        </is>
      </c>
      <c r="D17" s="2">
        <f>COUNTIFS(일일교반!$A:$A,"&gt;="&amp;A17,일일교반!$A:$A,"&lt;="&amp;B17,일일교반!$C:$C,C17)</f>
        <v/>
      </c>
      <c r="E17" s="2">
        <f>IFERROR(ROUND(AVERAGEIFS(일일교반!$F:$F,일일교반!$A:$A,"&gt;="&amp;A17,일일교반!$A:$A,"&lt;="&amp;B17,일일교반!$C:$C,C17),1),"")</f>
        <v/>
      </c>
      <c r="F17" s="2">
        <f>IFERROR(ROUND(AVERAGEIFS(일일교반!$V:$V,일일교반!$A:$A,"&gt;="&amp;A17,일일교반!$A:$A,"&lt;="&amp;B17,일일교반!$C:$C,C17),1),"")</f>
        <v/>
      </c>
      <c r="G17" s="2">
        <f>IFERROR(ROUND(AVERAGEIFS(일일교반!$W:$W,일일교반!$A:$A,"&gt;="&amp;A17,일일교반!$A:$A,"&lt;="&amp;B17,일일교반!$C:$C,C17),1),"")</f>
        <v/>
      </c>
      <c r="H17" s="2">
        <f>IFERROR(ROUND(AVERAGEIFS(일일교반!$J:$J,일일교반!$A:$A,"&gt;="&amp;A17,일일교반!$A:$A,"&lt;="&amp;B17,일일교반!$C:$C,C17),1),"")</f>
        <v/>
      </c>
      <c r="I17" s="2">
        <f>IFERROR(ROUND(AVERAGEIFS(일일교반!$L:$L,일일교반!$A:$A,"&gt;="&amp;A17,일일교반!$A:$A,"&lt;="&amp;B17,일일교반!$C:$C,C17),1),"")</f>
        <v/>
      </c>
      <c r="J17" s="2">
        <f>IFERROR(ROUND(AVERAGEIFS(일일교반!$M:$M,일일교반!$A:$A,"&gt;="&amp;A17,일일교반!$A:$A,"&lt;="&amp;B17,일일교반!$C:$C,C17),1),"")</f>
        <v/>
      </c>
      <c r="K17" s="2">
        <f>SUMIFS(일일교반!$O:$O,일일교반!$A:$A,"&gt;="&amp;A17,일일교반!$A:$A,"&lt;="&amp;B17,일일교반!$C:$C,C17)</f>
        <v/>
      </c>
      <c r="L17" s="2">
        <f>SUMIFS(일일교반!$P:$P,일일교반!$A:$A,"&gt;="&amp;A17,일일교반!$A:$A,"&lt;="&amp;B17,일일교반!$C:$C,C17)</f>
        <v/>
      </c>
      <c r="M17" s="2">
        <f>SUMIFS(일일교반!$Q:$Q,일일교반!$A:$A,"&gt;="&amp;A17,일일교반!$A:$A,"&lt;="&amp;B17,일일교반!$C:$C,C17)</f>
        <v/>
      </c>
      <c r="N17" s="2">
        <f>COUNTIFS(일일교반!$A:$A,"&gt;="&amp;A17,일일교반!$A:$A,"&lt;="&amp;B17,일일교반!$C:$C,C17,일일교반!$S:$S,"Y")</f>
        <v/>
      </c>
    </row>
    <row r="18">
      <c r="A18" s="7">
        <f>DATE(2026,11,9)+56</f>
        <v/>
      </c>
      <c r="B18" s="7">
        <f>A18+6</f>
        <v/>
      </c>
      <c r="C18" s="2" t="inlineStr">
        <is>
          <t>건유·육성우동</t>
        </is>
      </c>
      <c r="D18" s="2">
        <f>COUNTIFS(일일교반!$A:$A,"&gt;="&amp;A18,일일교반!$A:$A,"&lt;="&amp;B18,일일교반!$C:$C,C18)</f>
        <v/>
      </c>
      <c r="E18" s="2">
        <f>IFERROR(ROUND(AVERAGEIFS(일일교반!$F:$F,일일교반!$A:$A,"&gt;="&amp;A18,일일교반!$A:$A,"&lt;="&amp;B18,일일교반!$C:$C,C18),1),"")</f>
        <v/>
      </c>
      <c r="F18" s="2">
        <f>IFERROR(ROUND(AVERAGEIFS(일일교반!$V:$V,일일교반!$A:$A,"&gt;="&amp;A18,일일교반!$A:$A,"&lt;="&amp;B18,일일교반!$C:$C,C18),1),"")</f>
        <v/>
      </c>
      <c r="G18" s="2">
        <f>IFERROR(ROUND(AVERAGEIFS(일일교반!$W:$W,일일교반!$A:$A,"&gt;="&amp;A18,일일교반!$A:$A,"&lt;="&amp;B18,일일교반!$C:$C,C18),1),"")</f>
        <v/>
      </c>
      <c r="H18" s="2">
        <f>IFERROR(ROUND(AVERAGEIFS(일일교반!$J:$J,일일교반!$A:$A,"&gt;="&amp;A18,일일교반!$A:$A,"&lt;="&amp;B18,일일교반!$C:$C,C18),1),"")</f>
        <v/>
      </c>
      <c r="I18" s="2">
        <f>IFERROR(ROUND(AVERAGEIFS(일일교반!$L:$L,일일교반!$A:$A,"&gt;="&amp;A18,일일교반!$A:$A,"&lt;="&amp;B18,일일교반!$C:$C,C18),1),"")</f>
        <v/>
      </c>
      <c r="J18" s="2">
        <f>IFERROR(ROUND(AVERAGEIFS(일일교반!$M:$M,일일교반!$A:$A,"&gt;="&amp;A18,일일교반!$A:$A,"&lt;="&amp;B18,일일교반!$C:$C,C18),1),"")</f>
        <v/>
      </c>
      <c r="K18" s="2">
        <f>SUMIFS(일일교반!$O:$O,일일교반!$A:$A,"&gt;="&amp;A18,일일교반!$A:$A,"&lt;="&amp;B18,일일교반!$C:$C,C18)</f>
        <v/>
      </c>
      <c r="L18" s="2">
        <f>SUMIFS(일일교반!$P:$P,일일교반!$A:$A,"&gt;="&amp;A18,일일교반!$A:$A,"&lt;="&amp;B18,일일교반!$C:$C,C18)</f>
        <v/>
      </c>
      <c r="M18" s="2">
        <f>SUMIFS(일일교반!$Q:$Q,일일교반!$A:$A,"&gt;="&amp;A18,일일교반!$A:$A,"&lt;="&amp;B18,일일교반!$C:$C,C18)</f>
        <v/>
      </c>
      <c r="N18" s="2">
        <f>COUNTIFS(일일교반!$A:$A,"&gt;="&amp;A18,일일교반!$A:$A,"&lt;="&amp;B18,일일교반!$C:$C,C18,일일교반!$S:$S,"Y")</f>
        <v/>
      </c>
    </row>
    <row r="19">
      <c r="A19" s="7">
        <f>DATE(2026,11,9)+56</f>
        <v/>
      </c>
      <c r="B19" s="7">
        <f>A19+6</f>
        <v/>
      </c>
      <c r="C19" s="2" t="inlineStr">
        <is>
          <t>착유장</t>
        </is>
      </c>
      <c r="D19" s="2">
        <f>COUNTIFS(일일교반!$A:$A,"&gt;="&amp;A19,일일교반!$A:$A,"&lt;="&amp;B19,일일교반!$C:$C,C19)</f>
        <v/>
      </c>
      <c r="E19" s="2">
        <f>IFERROR(ROUND(AVERAGEIFS(일일교반!$F:$F,일일교반!$A:$A,"&gt;="&amp;A19,일일교반!$A:$A,"&lt;="&amp;B19,일일교반!$C:$C,C19),1),"")</f>
        <v/>
      </c>
      <c r="F19" s="2">
        <f>IFERROR(ROUND(AVERAGEIFS(일일교반!$V:$V,일일교반!$A:$A,"&gt;="&amp;A19,일일교반!$A:$A,"&lt;="&amp;B19,일일교반!$C:$C,C19),1),"")</f>
        <v/>
      </c>
      <c r="G19" s="2">
        <f>IFERROR(ROUND(AVERAGEIFS(일일교반!$W:$W,일일교반!$A:$A,"&gt;="&amp;A19,일일교반!$A:$A,"&lt;="&amp;B19,일일교반!$C:$C,C19),1),"")</f>
        <v/>
      </c>
      <c r="H19" s="2">
        <f>IFERROR(ROUND(AVERAGEIFS(일일교반!$J:$J,일일교반!$A:$A,"&gt;="&amp;A19,일일교반!$A:$A,"&lt;="&amp;B19,일일교반!$C:$C,C19),1),"")</f>
        <v/>
      </c>
      <c r="I19" s="2">
        <f>IFERROR(ROUND(AVERAGEIFS(일일교반!$L:$L,일일교반!$A:$A,"&gt;="&amp;A19,일일교반!$A:$A,"&lt;="&amp;B19,일일교반!$C:$C,C19),1),"")</f>
        <v/>
      </c>
      <c r="J19" s="2">
        <f>IFERROR(ROUND(AVERAGEIFS(일일교반!$M:$M,일일교반!$A:$A,"&gt;="&amp;A19,일일교반!$A:$A,"&lt;="&amp;B19,일일교반!$C:$C,C19),1),"")</f>
        <v/>
      </c>
      <c r="K19" s="2">
        <f>SUMIFS(일일교반!$O:$O,일일교반!$A:$A,"&gt;="&amp;A19,일일교반!$A:$A,"&lt;="&amp;B19,일일교반!$C:$C,C19)</f>
        <v/>
      </c>
      <c r="L19" s="2">
        <f>SUMIFS(일일교반!$P:$P,일일교반!$A:$A,"&gt;="&amp;A19,일일교반!$A:$A,"&lt;="&amp;B19,일일교반!$C:$C,C19)</f>
        <v/>
      </c>
      <c r="M19" s="2">
        <f>SUMIFS(일일교반!$Q:$Q,일일교반!$A:$A,"&gt;="&amp;A19,일일교반!$A:$A,"&lt;="&amp;B19,일일교반!$C:$C,C19)</f>
        <v/>
      </c>
      <c r="N19" s="2">
        <f>COUNTIFS(일일교반!$A:$A,"&gt;="&amp;A19,일일교반!$A:$A,"&lt;="&amp;B19,일일교반!$C:$C,C19,일일교반!$S:$S,"Y")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농업회사법인 주식회사 디투오</dc:creator>
  <dcterms:created xmlns:dcterms="http://purl.org/dc/terms/" xmlns:xsi="http://www.w3.org/2001/XMLSchema-instance" xsi:type="dcterms:W3CDTF">2026-10-22T21:34:21Z</dcterms:created>
  <dcterms:modified xmlns:dcterms="http://purl.org/dc/terms/" xmlns:xsi="http://www.w3.org/2001/XMLSchema-instance" xsi:type="dcterms:W3CDTF">2026-10-22T22:42:21Z</dcterms:modified>
  <cp:lastModifiedBy>하현제</cp:lastModifiedBy>
</cp:coreProperties>
</file>