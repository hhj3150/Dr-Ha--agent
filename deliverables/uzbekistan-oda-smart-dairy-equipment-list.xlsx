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.사업개요" sheetId="1" state="visible" r:id="rId1"/>
    <sheet name="01.총괄예산" sheetId="2" state="visible" r:id="rId2"/>
    <sheet name="02.기자재_리스트업" sheetId="3" state="visible" r:id="rId3"/>
    <sheet name="03.사업규모_시나리오" sheetId="4" state="visible" r:id="rId4"/>
    <sheet name="04.연차별_집행계획" sheetId="5" state="visible" r:id="rId5"/>
    <sheet name="05.전제조건" sheetId="6" state="visible" r:id="rId6"/>
  </sheets>
  <definedNames>
    <definedName name="_xlnm._FilterDatabase" localSheetId="2" hidden="1">'02.기자재_리스트업'!$A$4:$N$202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맑은 고딕"/>
      <b val="1"/>
      <color rgb="001F3864"/>
      <sz val="16"/>
    </font>
    <font>
      <name val="맑은 고딕"/>
      <color rgb="00808080"/>
      <sz val="9"/>
    </font>
    <font>
      <name val="맑은 고딕"/>
      <b val="1"/>
      <color rgb="001F3864"/>
      <sz val="10"/>
    </font>
    <font>
      <name val="맑은 고딕"/>
      <sz val="10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  <font>
      <name val="맑은 고딕"/>
      <b val="1"/>
      <color rgb="00C00000"/>
      <sz val="9"/>
    </font>
    <font>
      <name val="맑은 고딕"/>
      <b val="1"/>
      <color rgb="00BF8F00"/>
      <sz val="9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b val="1"/>
      <color rgb="001F3864"/>
      <sz val="12"/>
    </font>
    <font>
      <name val="맑은 고딕"/>
      <b val="1"/>
      <color rgb="00C00000"/>
      <sz val="10"/>
    </font>
    <font>
      <name val="맑은 고딕"/>
      <b val="1"/>
      <color rgb="00C00000"/>
      <sz val="12"/>
    </font>
    <font>
      <name val="맑은 고딕"/>
      <b val="1"/>
      <sz val="11"/>
    </font>
  </fonts>
  <fills count="8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1F3864"/>
      </patternFill>
    </fill>
    <fill>
      <patternFill patternType="solid">
        <fgColor rgb="00EAF0F7"/>
      </patternFill>
    </fill>
    <fill>
      <patternFill patternType="solid">
        <fgColor rgb="00FFFFFF"/>
      </patternFill>
    </fill>
    <fill>
      <patternFill patternType="solid">
        <fgColor rgb="0080808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3" fontId="11" fillId="3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1" fillId="3" borderId="1" pivotButton="0" quotePrefix="0" xfId="0"/>
    <xf numFmtId="0" fontId="11" fillId="3" borderId="1" applyAlignment="1" pivotButton="0" quotePrefix="0" xfId="0">
      <alignment horizontal="right" vertical="center"/>
    </xf>
    <xf numFmtId="3" fontId="11" fillId="3" borderId="1" pivotButton="0" quotePrefix="0" xfId="0"/>
    <xf numFmtId="0" fontId="11" fillId="2" borderId="1" pivotButton="0" quotePrefix="0" xfId="0"/>
    <xf numFmtId="0" fontId="11" fillId="2" borderId="1" applyAlignment="1" pivotButton="0" quotePrefix="0" xfId="0">
      <alignment horizontal="right" vertical="center"/>
    </xf>
    <xf numFmtId="3" fontId="11" fillId="2" borderId="1" pivotButton="0" quotePrefix="0" xfId="0"/>
    <xf numFmtId="0" fontId="11" fillId="6" borderId="1" pivotButton="0" quotePrefix="0" xfId="0"/>
    <xf numFmtId="0" fontId="11" fillId="6" borderId="1" applyAlignment="1" pivotButton="0" quotePrefix="0" xfId="0">
      <alignment horizontal="right" vertical="center"/>
    </xf>
    <xf numFmtId="3" fontId="11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5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pivotButton="0" quotePrefix="0" xfId="0"/>
    <xf numFmtId="3" fontId="4" fillId="2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3" fontId="11" fillId="3" borderId="1" applyAlignment="1" pivotButton="0" quotePrefix="0" xfId="0">
      <alignment horizontal="right" vertical="center"/>
    </xf>
    <xf numFmtId="0" fontId="14" fillId="7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16" fillId="0" borderId="0" pivotButton="0" quotePrefix="0" xfId="0"/>
    <xf numFmtId="3" fontId="15" fillId="7" borderId="0" pivotButton="0" quotePrefix="0" xfId="0"/>
    <xf numFmtId="0" fontId="1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4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8" customWidth="1" min="2" max="2"/>
  </cols>
  <sheetData>
    <row r="1">
      <c r="A1" s="1" t="inlineStr">
        <is>
          <t>우즈베키스탄 스마트축사 · 유가공공장 ODA 사업 — 기자재 리스트업 및 개산 예산</t>
        </is>
      </c>
    </row>
    <row r="2">
      <c r="A2" s="2" t="inlineStr">
        <is>
          <t>작성: 하실장(D2O Agent System) | 기준일 2026-08-11 | 모든 금액은 개산(槪算) 추정치이며 실시설계·현지 견적으로 확정 필요</t>
        </is>
      </c>
    </row>
    <row r="4">
      <c r="A4" s="3" t="inlineStr"/>
      <c r="B4" s="4" t="inlineStr"/>
    </row>
    <row r="5" ht="22" customHeight="1">
      <c r="A5" s="5" t="inlineStr">
        <is>
          <t>■ 1. 사업 개요</t>
        </is>
      </c>
      <c r="B5" s="6" t="inlineStr"/>
    </row>
    <row r="6">
      <c r="A6" s="3" t="inlineStr">
        <is>
          <t>사업명</t>
        </is>
      </c>
      <c r="B6" s="4" t="inlineStr">
        <is>
          <t>우즈베키스탄 낙농 스마트축사·유가공·유전개량 통합 시범단지 조성 사업(가칭)</t>
        </is>
      </c>
    </row>
    <row r="7" ht="32" customHeight="1">
      <c r="A7" s="3" t="inlineStr">
        <is>
          <t>사업 목적</t>
        </is>
      </c>
      <c r="B7" s="4" t="inlineStr">
        <is>
          <t>① 낙농 생산성 향상  ② 유가공 부가가치 창출  ③ 젖소 유전개량 자립역량 이전  ④ 축산 디지털 전환(CowTalk AI·Eco-BIT)  ⑤ 자원순환·환경개선(D2O)</t>
        </is>
      </c>
    </row>
    <row r="8">
      <c r="A8" s="3" t="inlineStr">
        <is>
          <t>사업 기간</t>
        </is>
      </c>
      <c r="B8" s="4" t="inlineStr">
        <is>
          <t>36개월 (1년차 설계·건축 / 2년차 기자재 설치·시운전 / 3년차 운영·기술전수·성과확산)</t>
        </is>
      </c>
    </row>
    <row r="9">
      <c r="A9" s="3" t="inlineStr">
        <is>
          <t>사업 형태</t>
        </is>
      </c>
      <c r="B9" s="4" t="inlineStr">
        <is>
          <t>무상원조(KOICA) + 양허성차관(EDCF)·현지부담 + 민간투자(제네틱스·D2O) 혼합 재원</t>
        </is>
      </c>
    </row>
    <row r="10">
      <c r="A10" s="3" t="inlineStr"/>
      <c r="B10" s="4" t="inlineStr"/>
    </row>
    <row r="11" ht="22" customHeight="1">
      <c r="A11" s="5" t="inlineStr">
        <is>
          <t>■ 2. 사업 규모 (모든 설비 산정의 기준축)</t>
        </is>
      </c>
      <c r="B11" s="6" t="inlineStr"/>
    </row>
    <row r="12">
      <c r="A12" s="3" t="inlineStr">
        <is>
          <t>착유우사 규격</t>
        </is>
      </c>
      <c r="B12" s="4" t="inlineStr">
        <is>
          <t>60m × 45m × H10m = 2,700㎡  (원본 리스트 규격 그대로 적용)</t>
        </is>
      </c>
    </row>
    <row r="13">
      <c r="A13" s="3" t="inlineStr">
        <is>
          <t>착유우 두수</t>
        </is>
      </c>
      <c r="B13" s="4" t="inlineStr">
        <is>
          <t>100두  (회장님 지시 규모)</t>
        </is>
      </c>
    </row>
    <row r="14">
      <c r="A14" s="3" t="inlineStr">
        <is>
          <t>총 사육두수</t>
        </is>
      </c>
      <c r="B14" s="4" t="inlineStr">
        <is>
          <t>180두  (착유 100 + 건유 20 + 육성·후보 60) — 착유우사 1개 동에 통합 수용, 두당 15㎡</t>
        </is>
      </c>
    </row>
    <row r="15">
      <c r="A15" s="3" t="inlineStr">
        <is>
          <t>1일 원유 생산량(자가)</t>
        </is>
      </c>
      <c r="B15" s="4" t="inlineStr">
        <is>
          <t>100두 × 25kg = 2,500kg = 2.5톤/일</t>
        </is>
      </c>
    </row>
    <row r="16">
      <c r="A16" s="3" t="inlineStr">
        <is>
          <t>유가공공장 처리량</t>
        </is>
      </c>
      <c r="B16" s="4" t="inlineStr">
        <is>
          <t>5톤/일  =  자가 원유 2.5톤 + 인근 농가 집유 2.5톤  ← 지역 집유센터 기능 겸함</t>
        </is>
      </c>
    </row>
    <row r="17">
      <c r="A17" s="3" t="inlineStr">
        <is>
          <t>퇴비 처리량</t>
        </is>
      </c>
      <c r="B17" s="4" t="inlineStr">
        <is>
          <t>약 8.1톤/일 (180두 × 45kg) — 수직형 밀폐 발효조 10톤/일 용량</t>
        </is>
      </c>
    </row>
    <row r="18">
      <c r="A18" s="3" t="inlineStr">
        <is>
          <t>실험실 규격</t>
        </is>
      </c>
      <c r="B18" s="4" t="inlineStr">
        <is>
          <t>10m × 20m = 200㎡ (IVF + ET 통합, 클린룸 Class 10,000)</t>
        </is>
      </c>
    </row>
    <row r="19">
      <c r="A19" s="3" t="inlineStr">
        <is>
          <t>체외수정란 생산목표</t>
        </is>
      </c>
      <c r="B19" s="4" t="inlineStr">
        <is>
          <t>연 3,000개 (3년차 기준, 파일럿 목표치)</t>
        </is>
      </c>
    </row>
    <row r="20">
      <c r="A20" s="3" t="inlineStr"/>
      <c r="B20" s="4" t="inlineStr"/>
    </row>
    <row r="21" ht="22" customHeight="1">
      <c r="A21" s="5" t="inlineStr">
        <is>
          <t>■ 3. 핵심 설계 논리 (회장님 지시사항의 정합성)</t>
        </is>
      </c>
      <c r="B21" s="6" t="inlineStr"/>
    </row>
    <row r="22" ht="32" customHeight="1">
      <c r="A22" s="3" t="inlineStr">
        <is>
          <t>논리 ①</t>
        </is>
      </c>
      <c r="B22" s="4" t="inlineStr">
        <is>
          <t>착유우사 2,700㎡에 착유 100 + 건유 20 + 육성 60 = 180두를 통합 수용(두당 15㎡). 별도 육성·건유우사가 불필요하고, 향후 착유우 200두까지 증축 없이 확장됩니다.</t>
        </is>
      </c>
    </row>
    <row r="23" ht="32" customHeight="1">
      <c r="A23" s="3" t="inlineStr">
        <is>
          <t>논리 ②</t>
        </is>
      </c>
      <c r="B23" s="4" t="inlineStr">
        <is>
          <t>유가공 5톤/일은 자가 원유 2.5톤 + 인근 농가 집유 2.5톤으로 채웁니다. 시범목장 전용 설비가 아니라 '지역 집유·가공 센터'가 되어 ODA 수혜 범위가 인근 농가로 확대됩니다.</t>
        </is>
      </c>
    </row>
    <row r="24">
      <c r="A24" s="3" t="inlineStr">
        <is>
          <t>논리 ③</t>
        </is>
      </c>
      <c r="B24" s="4" t="inlineStr">
        <is>
          <t>팔러착유기는 착유우 100두에 최적인 헤링본 2×8(16유닛). 착유로봇 1대는 '실증·교육 시연용' 옵션으로만 배치합니다.</t>
        </is>
      </c>
    </row>
    <row r="25" ht="32" customHeight="1">
      <c r="A25" s="3" t="inlineStr">
        <is>
          <t>논리 ④</t>
        </is>
      </c>
      <c r="B25" s="4" t="inlineStr">
        <is>
          <t>수정란 사업 = 성감별 정액(G군) → 체내채란·IVF(H·I군) → 이식(H군) → CowTalk 성적추적(J군)의 완결 루프로 구성했습니다. 실험실은 목장 두수와 무관하게 지역 보급 거점 규모로 유지했습니다.</t>
        </is>
      </c>
    </row>
    <row r="26" ht="32" customHeight="1">
      <c r="A26" s="3" t="inlineStr">
        <is>
          <t>논리 ⑤</t>
        </is>
      </c>
      <c r="B26" s="4" t="inlineStr">
        <is>
          <t>분뇨 = 스크래퍼 → 고액분리 → 수직형 밀폐발효조(1차) → 주행식 교반기(2차 숙성) → 포장·상품화의 2단 처리 구조입니다.</t>
        </is>
      </c>
    </row>
    <row r="27" ht="32" customHeight="1">
      <c r="A27" s="3" t="inlineStr">
        <is>
          <t>논리 ⑥</t>
        </is>
      </c>
      <c r="B27" s="4" t="inlineStr">
        <is>
          <t>원본 리스트에 없던 ㉠ 유가공공장 ㉡ IVF 실험실 세팅 ㉢ 전기·용수·비상발전 ㉣ 물류·사후관리·예비비 를 보완했습니다. 이 4개가 빠지면 사업이 실제로 돌아가지 않습니다.</t>
        </is>
      </c>
    </row>
    <row r="28">
      <c r="A28" s="3" t="inlineStr"/>
      <c r="B28" s="4" t="inlineStr"/>
    </row>
    <row r="29" ht="22" customHeight="1">
      <c r="A29" s="5" t="inlineStr">
        <is>
          <t>■ 4. 우즈베키스탄 특수 리스크 및 반영 대책</t>
        </is>
      </c>
      <c r="B29" s="6" t="inlineStr"/>
    </row>
    <row r="30" ht="32" customHeight="1">
      <c r="A30" s="3" t="inlineStr">
        <is>
          <t>리스크 ① 액체질소 수급</t>
        </is>
      </c>
      <c r="B30" s="4" t="inlineStr">
        <is>
          <t>질소발생기는 미도입(회장님 결정). 액체질소통 + 3년 정기공급 계약으로 운용 → ⚠ LN2 공급이 단일 의존점이 되므로, 현지 공급업체와의 3년 공급계약 확보를 사업 착수 전제조건으로 명시할 것  [G군]</t>
        </is>
      </c>
    </row>
    <row r="31">
      <c r="A31" s="3" t="inlineStr">
        <is>
          <t>리스크 ② 정전</t>
        </is>
      </c>
      <c r="B31" s="4" t="inlineStr">
        <is>
          <t>실험실 UPS + 300kW 비상발전 + 원격 알람  [A·I군]  — 정전 1회로 배양·원유 전량 손실 가능</t>
        </is>
      </c>
    </row>
    <row r="32" ht="32" customHeight="1">
      <c r="A32" s="3" t="inlineStr">
        <is>
          <t>리스크 ③ 혹서(하절기 40℃)</t>
        </is>
      </c>
      <c r="B32" s="4" t="inlineStr">
        <is>
          <t>대형 순환팬 20대 + 쿨링포그 + 윈치커튼 자동제어 + THI 연동제어  [J군] — 축사 면적(2,700㎡)이 동일하므로 두수 축소와 무관하게 유지</t>
        </is>
      </c>
    </row>
    <row r="33">
      <c r="A33" s="3" t="inlineStr">
        <is>
          <t>리스크 ④ 콜드체인 취약</t>
        </is>
      </c>
      <c r="B33" s="4" t="inlineStr">
        <is>
          <t>냉장창고·냉장배송차 + UHT/ESL 라인(옵션)으로 상온유통 제품군 병행  [E군]</t>
        </is>
      </c>
    </row>
    <row r="34">
      <c r="A34" s="3" t="inlineStr">
        <is>
          <t>리스크 ⑤ 부품·A/S</t>
        </is>
      </c>
      <c r="B34" s="4" t="inlineStr">
        <is>
          <t>A/S 예비부품 2년치 초기재고 + 현지 상주 기술인력  [K·L군]</t>
        </is>
      </c>
    </row>
    <row r="35">
      <c r="A35" s="3" t="inlineStr">
        <is>
          <t>리스크 ⑥ 내륙국 물류</t>
        </is>
      </c>
      <c r="B35" s="4" t="inlineStr">
        <is>
          <t>기자재비의 8%를 국제운송·통관비로 계상  [L군]</t>
        </is>
      </c>
    </row>
    <row r="36">
      <c r="A36" s="3" t="inlineStr">
        <is>
          <t>리스크 ⑦ 수정란 검역</t>
        </is>
      </c>
      <c r="B36" s="4" t="inlineStr">
        <is>
          <t>Export Permit / Health Certificate 사전 협의 — 착수 전 필수  [L군]</t>
        </is>
      </c>
    </row>
    <row r="37">
      <c r="A37" s="3" t="inlineStr"/>
      <c r="B37" s="4" t="inlineStr"/>
    </row>
    <row r="38" ht="22" customHeight="1">
      <c r="A38" s="5" t="inlineStr">
        <is>
          <t>■ 5. 중요 고지</t>
        </is>
      </c>
      <c r="B38" s="6" t="inlineStr"/>
    </row>
    <row r="39" ht="32" customHeight="1">
      <c r="A39" s="3" t="inlineStr">
        <is>
          <t>금액의 성격</t>
        </is>
      </c>
      <c r="B39" s="4" t="inlineStr">
        <is>
          <t>본 워크북의 모든 금액은 2026년 8월 기준 한국 시장가·유사사업 실적을 참고한 개산 추정치입니다. 확정 견적이 아니며, 실시설계 및 현지 3사 견적으로 반드시 재산정해야 합니다.</t>
        </is>
      </c>
    </row>
    <row r="40">
      <c r="A40" s="3" t="inlineStr">
        <is>
          <t>환율 가정</t>
        </is>
      </c>
      <c r="B40" s="4" t="inlineStr">
        <is>
          <t>1 USD = 1,380 KRW (가정치 — '05.전제조건' 시트에서 수정하면 전체 USD 금액이 자동 갱신됩니다)</t>
        </is>
      </c>
    </row>
    <row r="41">
      <c r="A41" s="3" t="inlineStr">
        <is>
          <t>성과 표현</t>
        </is>
      </c>
      <c r="B41" s="4" t="inlineStr">
        <is>
          <t>산유량·수태율·악취저감 등 모든 수치는 '기대목표(pilot target)'이며, 현장검증 계획을 병행 기술해야 합니다.</t>
        </is>
      </c>
    </row>
    <row r="42">
      <c r="A42" s="3" t="inlineStr">
        <is>
          <t>유전자원 범위</t>
        </is>
      </c>
      <c r="B42" s="4" t="inlineStr">
        <is>
          <t>본 사업의 유전자원 이전 대상은 한국산 홀스타인 성감별(유용) 수정란·정액에 한정합니다. 한우 유전자원은 대상이 아닙니다.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7" customWidth="1" min="3" max="3"/>
    <col width="17" customWidth="1" min="4" max="4"/>
    <col width="17" customWidth="1" min="5" max="5"/>
    <col width="14" customWidth="1" min="6" max="6"/>
    <col width="8" customWidth="1" min="7" max="7"/>
    <col width="92" customWidth="1" min="8" max="8"/>
  </cols>
  <sheetData>
    <row r="1">
      <c r="A1" s="1" t="inlineStr">
        <is>
          <t>총괄 예산 (개산)</t>
        </is>
      </c>
    </row>
    <row r="2">
      <c r="A2" s="2" t="inlineStr">
        <is>
          <t>대분류별 집계 — '02.기자재_리스트업' 시트와 실시간 연동됩니다</t>
        </is>
      </c>
    </row>
    <row r="4" ht="26" customHeight="1">
      <c r="A4" s="7" t="inlineStr">
        <is>
          <t>구분</t>
        </is>
      </c>
      <c r="B4" s="7" t="inlineStr">
        <is>
          <t>대분류</t>
        </is>
      </c>
      <c r="C4" s="7" t="inlineStr">
        <is>
          <t>본안(원)</t>
        </is>
      </c>
      <c r="D4" s="7" t="inlineStr">
        <is>
          <t>옵션(원)</t>
        </is>
      </c>
      <c r="E4" s="7" t="inlineStr">
        <is>
          <t>합계(원)</t>
        </is>
      </c>
      <c r="F4" s="7" t="inlineStr">
        <is>
          <t>합계(USD)</t>
        </is>
      </c>
      <c r="G4" s="7" t="inlineStr">
        <is>
          <t>비중</t>
        </is>
      </c>
      <c r="H4" s="7" t="inlineStr">
        <is>
          <t>핵심 내용</t>
        </is>
      </c>
    </row>
    <row r="5" ht="34" customHeight="1">
      <c r="A5" s="8" t="inlineStr">
        <is>
          <t>A</t>
        </is>
      </c>
      <c r="B5" s="9" t="inlineStr">
        <is>
          <t>건축·토목</t>
        </is>
      </c>
      <c r="C5" s="10">
        <f>SUMIFS('02.기자재_리스트업'!$J$5:$J$202,'02.기자재_리스트업'!$B$5:$B$202,"A. 건축·토목",'02.기자재_리스트업'!$L$5:$L$202,"본안")</f>
        <v/>
      </c>
      <c r="D5" s="10">
        <f>SUMIFS('02.기자재_리스트업'!$J$5:$J$202,'02.기자재_리스트업'!$B$5:$B$202,"A. 건축·토목",'02.기자재_리스트업'!$L$5:$L$202,"옵션")</f>
        <v/>
      </c>
      <c r="E5" s="10">
        <f>C5+D5</f>
        <v/>
      </c>
      <c r="F5" s="10">
        <f>ROUND(E5/'05.전제조건'!$C$5,0)</f>
        <v/>
      </c>
      <c r="G5" s="11">
        <f>IFERROR(C5/$C$17,0)</f>
        <v/>
      </c>
      <c r="H5" s="12" t="inlineStr">
        <is>
          <t>착유우사 2,700㎡(180두 통합수용) · 팔러동 300㎡ · 실험실 200㎡ · 유가공동 500㎡ · 퇴비사 600㎡ · 사료창고 450㎡ · 관리동 · 토목/전기/용수 · 설계감리</t>
        </is>
      </c>
    </row>
    <row r="6" ht="34" customHeight="1">
      <c r="A6" s="8" t="inlineStr">
        <is>
          <t>B</t>
        </is>
      </c>
      <c r="B6" s="9" t="inlineStr">
        <is>
          <t>착유·집유 설비</t>
        </is>
      </c>
      <c r="C6" s="10">
        <f>SUMIFS('02.기자재_리스트업'!$J$5:$J$202,'02.기자재_리스트업'!$B$5:$B$202,"B. 착유·집유 설비",'02.기자재_리스트업'!$L$5:$L$202,"본안")</f>
        <v/>
      </c>
      <c r="D6" s="10">
        <f>SUMIFS('02.기자재_리스트업'!$J$5:$J$202,'02.기자재_리스트업'!$B$5:$B$202,"B. 착유·집유 설비",'02.기자재_리스트업'!$L$5:$L$202,"옵션")</f>
        <v/>
      </c>
      <c r="E6" s="10">
        <f>C6+D6</f>
        <v/>
      </c>
      <c r="F6" s="10">
        <f>ROUND(E6/'05.전제조건'!$C$5,0)</f>
        <v/>
      </c>
      <c r="G6" s="11">
        <f>IFERROR(C6/$C$17,0)</f>
        <v/>
      </c>
      <c r="H6" s="12" t="inlineStr">
        <is>
          <t>팔러착유기 헤링본 2×8(16유닛) · 원유냉각탱크 3,000L×2 · 프리쿨러 · CIP · 선별게이트 · [옵션] 착유로봇 1대</t>
        </is>
      </c>
    </row>
    <row r="7" ht="34" customHeight="1">
      <c r="A7" s="8" t="inlineStr">
        <is>
          <t>C</t>
        </is>
      </c>
      <c r="B7" s="9" t="inlineStr">
        <is>
          <t>사료·급이 설비</t>
        </is>
      </c>
      <c r="C7" s="10">
        <f>SUMIFS('02.기자재_리스트업'!$J$5:$J$202,'02.기자재_리스트업'!$B$5:$B$202,"C. 사료·급이 설비",'02.기자재_리스트업'!$L$5:$L$202,"본안")</f>
        <v/>
      </c>
      <c r="D7" s="10">
        <f>SUMIFS('02.기자재_리스트업'!$J$5:$J$202,'02.기자재_리스트업'!$B$5:$B$202,"C. 사료·급이 설비",'02.기자재_리스트업'!$L$5:$L$202,"옵션")</f>
        <v/>
      </c>
      <c r="E7" s="10">
        <f>C7+D7</f>
        <v/>
      </c>
      <c r="F7" s="10">
        <f>ROUND(E7/'05.전제조건'!$C$5,0)</f>
        <v/>
      </c>
      <c r="G7" s="11">
        <f>IFERROR(C7/$C$17,0)</f>
        <v/>
      </c>
      <c r="H7" s="12" t="inlineStr">
        <is>
          <t>TMR 배합기 10㎥·6㎥ · 자동 사료밀기 로봇 · IJ-600L 배합기 · 사일로 20톤×2 · 자동급수조</t>
        </is>
      </c>
    </row>
    <row r="8" ht="34" customHeight="1">
      <c r="A8" s="8" t="inlineStr">
        <is>
          <t>D</t>
        </is>
      </c>
      <c r="B8" s="9" t="inlineStr">
        <is>
          <t>분뇨처리·농기계</t>
        </is>
      </c>
      <c r="C8" s="10">
        <f>SUMIFS('02.기자재_리스트업'!$J$5:$J$202,'02.기자재_리스트업'!$B$5:$B$202,"D. 분뇨처리·농기계",'02.기자재_리스트업'!$L$5:$L$202,"본안")</f>
        <v/>
      </c>
      <c r="D8" s="10">
        <f>SUMIFS('02.기자재_리스트업'!$J$5:$J$202,'02.기자재_리스트업'!$B$5:$B$202,"D. 분뇨처리·농기계",'02.기자재_리스트업'!$L$5:$L$202,"옵션")</f>
        <v/>
      </c>
      <c r="E8" s="10">
        <f>C8+D8</f>
        <v/>
      </c>
      <c r="F8" s="10">
        <f>ROUND(E8/'05.전제조건'!$C$5,0)</f>
        <v/>
      </c>
      <c r="G8" s="11">
        <f>IFERROR(C8/$C$17,0)</f>
        <v/>
      </c>
      <c r="H8" s="12" t="inlineStr">
        <is>
          <t>수직형 밀폐 퇴비발효조 10톤/일 · 주행식 교반기 · 스키드로더 · 트랙터 대/소 · 지게차 2톤 · 고액분리기 · D2O 베딩/HBP</t>
        </is>
      </c>
    </row>
    <row r="9" ht="34" customHeight="1">
      <c r="A9" s="8" t="inlineStr">
        <is>
          <t>E</t>
        </is>
      </c>
      <c r="B9" s="9" t="inlineStr">
        <is>
          <t>유가공공장(5톤/일)</t>
        </is>
      </c>
      <c r="C9" s="10">
        <f>SUMIFS('02.기자재_리스트업'!$J$5:$J$202,'02.기자재_리스트업'!$B$5:$B$202,"E. 유가공공장(5톤/일)",'02.기자재_리스트업'!$L$5:$L$202,"본안")</f>
        <v/>
      </c>
      <c r="D9" s="10">
        <f>SUMIFS('02.기자재_리스트업'!$J$5:$J$202,'02.기자재_리스트업'!$B$5:$B$202,"E. 유가공공장(5톤/일)",'02.기자재_리스트업'!$L$5:$L$202,"옵션")</f>
        <v/>
      </c>
      <c r="E9" s="10">
        <f>C9+D9</f>
        <v/>
      </c>
      <c r="F9" s="10">
        <f>ROUND(E9/'05.전제조건'!$C$5,0)</f>
        <v/>
      </c>
      <c r="G9" s="11">
        <f>IFERROR(C9/$C$17,0)</f>
        <v/>
      </c>
      <c r="H9" s="12" t="inlineStr">
        <is>
          <t>HTST 살균 5,000L/h · 균질기 · 세퍼레이터 · 발효탱크 · 그릭요거트 · 치즈 · 카이막 · 아이스크림 · 충전포장 · CIP · 유틸리티 · 폐수처리</t>
        </is>
      </c>
    </row>
    <row r="10" ht="34" customHeight="1">
      <c r="A10" s="8" t="inlineStr">
        <is>
          <t>F</t>
        </is>
      </c>
      <c r="B10" s="9" t="inlineStr">
        <is>
          <t>원유·유제품 품질관리</t>
        </is>
      </c>
      <c r="C10" s="10">
        <f>SUMIFS('02.기자재_리스트업'!$J$5:$J$202,'02.기자재_리스트업'!$B$5:$B$202,"F. 원유·유제품 품질관리",'02.기자재_리스트업'!$L$5:$L$202,"본안")</f>
        <v/>
      </c>
      <c r="D10" s="10">
        <f>SUMIFS('02.기자재_리스트업'!$J$5:$J$202,'02.기자재_리스트업'!$B$5:$B$202,"F. 원유·유제품 품질관리",'02.기자재_리스트업'!$L$5:$L$202,"옵션")</f>
        <v/>
      </c>
      <c r="E10" s="10">
        <f>C10+D10</f>
        <v/>
      </c>
      <c r="F10" s="10">
        <f>ROUND(E10/'05.전제조건'!$C$5,0)</f>
        <v/>
      </c>
      <c r="G10" s="11">
        <f>IFERROR(C10/$C$17,0)</f>
        <v/>
      </c>
      <c r="H10" s="12" t="inlineStr">
        <is>
          <t>유성분·체세포·세균수·항생물질·빙점 분석기 · 이화학 검사도구 · 미생물 검사 세트</t>
        </is>
      </c>
    </row>
    <row r="11" ht="34" customHeight="1">
      <c r="A11" s="8" t="inlineStr">
        <is>
          <t>G</t>
        </is>
      </c>
      <c r="B11" s="9" t="inlineStr">
        <is>
          <t>인공수정(A.I.) 기자재</t>
        </is>
      </c>
      <c r="C11" s="10">
        <f>SUMIFS('02.기자재_리스트업'!$J$5:$J$202,'02.기자재_리스트업'!$B$5:$B$202,"G. 인공수정(A.I.) 기자재",'02.기자재_리스트업'!$L$5:$L$202,"본안")</f>
        <v/>
      </c>
      <c r="D11" s="10">
        <f>SUMIFS('02.기자재_리스트업'!$J$5:$J$202,'02.기자재_리스트업'!$B$5:$B$202,"G. 인공수정(A.I.) 기자재",'02.기자재_리스트업'!$L$5:$L$202,"옵션")</f>
        <v/>
      </c>
      <c r="E11" s="10">
        <f>C11+D11</f>
        <v/>
      </c>
      <c r="F11" s="10">
        <f>ROUND(E11/'05.전제조건'!$C$5,0)</f>
        <v/>
      </c>
      <c r="G11" s="11">
        <f>IFERROR(C11/$C$17,0)</f>
        <v/>
      </c>
      <c r="H11" s="12" t="inlineStr">
        <is>
          <t>목장 현장 최소 운용 사양 — 주입기·시스·장갑·융해기·액체질소통(20/34/47ℓ) · 초음파 2종 · LN2 3년 정기공급 · 성감별 정액 500str  ※질소발생기 미도입</t>
        </is>
      </c>
    </row>
    <row r="12" ht="34" customHeight="1">
      <c r="A12" s="8" t="inlineStr">
        <is>
          <t>H</t>
        </is>
      </c>
      <c r="B12" s="9" t="inlineStr">
        <is>
          <t>수정란이식(ET) 기자재</t>
        </is>
      </c>
      <c r="C12" s="10">
        <f>SUMIFS('02.기자재_리스트업'!$J$5:$J$202,'02.기자재_리스트업'!$B$5:$B$202,"H. 수정란이식(ET) 기자재",'02.기자재_리스트업'!$L$5:$L$202,"본안")</f>
        <v/>
      </c>
      <c r="D12" s="10">
        <f>SUMIFS('02.기자재_리스트업'!$J$5:$J$202,'02.기자재_리스트업'!$B$5:$B$202,"H. 수정란이식(ET) 기자재",'02.기자재_리스트업'!$L$5:$L$202,"옵션")</f>
        <v/>
      </c>
      <c r="E12" s="10">
        <f>C12+D12</f>
        <v/>
      </c>
      <c r="F12" s="10">
        <f>ROUND(E12/'05.전제조건'!$C$5,0)</f>
        <v/>
      </c>
      <c r="G12" s="11">
        <f>IFERROR(C12/$C$17,0)</f>
        <v/>
      </c>
      <c r="H12" s="12" t="inlineStr">
        <is>
          <t>ET 주입기·시스 · 채란기·필터·배지 · 실체현미경 · 프로그램 동결기 · 드라이시퍼 · 홀스타인 성감별 수정란 600개</t>
        </is>
      </c>
    </row>
    <row r="13" ht="34" customHeight="1">
      <c r="A13" s="8" t="inlineStr">
        <is>
          <t>I</t>
        </is>
      </c>
      <c r="B13" s="9" t="inlineStr">
        <is>
          <t>체외수정란(IVF) 실험실</t>
        </is>
      </c>
      <c r="C13" s="10">
        <f>SUMIFS('02.기자재_리스트업'!$J$5:$J$202,'02.기자재_리스트업'!$B$5:$B$202,"I. 체외수정란(IVF) 실험실",'02.기자재_리스트업'!$L$5:$L$202,"본안")</f>
        <v/>
      </c>
      <c r="D13" s="10">
        <f>SUMIFS('02.기자재_리스트업'!$J$5:$J$202,'02.기자재_리스트업'!$B$5:$B$202,"I. 체외수정란(IVF) 실험실",'02.기자재_리스트업'!$L$5:$L$202,"옵션")</f>
        <v/>
      </c>
      <c r="E13" s="10">
        <f>C13+D13</f>
        <v/>
      </c>
      <c r="F13" s="10">
        <f>ROUND(E13/'05.전제조건'!$C$5,0)</f>
        <v/>
      </c>
      <c r="G13" s="11">
        <f>IFERROR(C13/$C$17,0)</f>
        <v/>
      </c>
      <c r="H13" s="12" t="inlineStr">
        <is>
          <t>클린룸 Class 10,000 · 도립/실체현미경 · 트리가스 인큐베이터 · OPU 세트 · 초순수 · UPS · 원격감시 · 배지 소모품</t>
        </is>
      </c>
    </row>
    <row r="14" ht="34" customHeight="1">
      <c r="A14" s="8" t="inlineStr">
        <is>
          <t>J</t>
        </is>
      </c>
      <c r="B14" s="9" t="inlineStr">
        <is>
          <t>ICT·스마트팜</t>
        </is>
      </c>
      <c r="C14" s="10">
        <f>SUMIFS('02.기자재_리스트업'!$J$5:$J$202,'02.기자재_리스트업'!$B$5:$B$202,"J. ICT·스마트팜",'02.기자재_리스트업'!$L$5:$L$202,"본안")</f>
        <v/>
      </c>
      <c r="D14" s="10">
        <f>SUMIFS('02.기자재_리스트업'!$J$5:$J$202,'02.기자재_리스트업'!$B$5:$B$202,"J. ICT·스마트팜",'02.기자재_리스트업'!$L$5:$L$202,"옵션")</f>
        <v/>
      </c>
      <c r="E14" s="10">
        <f>C14+D14</f>
        <v/>
      </c>
      <c r="F14" s="10">
        <f>ROUND(E14/'05.전제조건'!$C$5,0)</f>
        <v/>
      </c>
      <c r="G14" s="11">
        <f>IFERROR(C14/$C$17,0)</f>
        <v/>
      </c>
      <c r="H14" s="12" t="inlineStr">
        <is>
          <t>smaXtec 위내센서 180두(36개월) · 환경센서 20포인트 + 원본 계측기자재 전량 · 쿨링/환기 자동제어 · CowTalk AI 현지화 · Eco-BIT 정부 대시보드 · 태양광 300kW</t>
        </is>
      </c>
    </row>
    <row r="15" ht="34" customHeight="1">
      <c r="A15" s="8" t="inlineStr">
        <is>
          <t>K</t>
        </is>
      </c>
      <c r="B15" s="9" t="inlineStr">
        <is>
          <t>교육훈련·기술전수</t>
        </is>
      </c>
      <c r="C15" s="10">
        <f>SUMIFS('02.기자재_리스트업'!$J$5:$J$202,'02.기자재_리스트업'!$B$5:$B$202,"K. 교육훈련·기술전수",'02.기자재_리스트업'!$L$5:$L$202,"본안")</f>
        <v/>
      </c>
      <c r="D15" s="10">
        <f>SUMIFS('02.기자재_리스트업'!$J$5:$J$202,'02.기자재_리스트업'!$B$5:$B$202,"K. 교육훈련·기술전수",'02.기자재_리스트업'!$L$5:$L$202,"옵션")</f>
        <v/>
      </c>
      <c r="E15" s="10">
        <f>C15+D15</f>
        <v/>
      </c>
      <c r="F15" s="10">
        <f>ROUND(E15/'05.전제조건'!$C$5,0)</f>
        <v/>
      </c>
      <c r="G15" s="11">
        <f>IFERROR(C15/$C$17,0)</f>
        <v/>
      </c>
      <c r="H15" s="12" t="inlineStr">
        <is>
          <t>초청연수 3회 · 전문가 파견 · 상주 PM/기술 36개월 · 4대 교육모듈 · 수정란이식 인증과정 · 유가공 기술전수 · LMS</t>
        </is>
      </c>
    </row>
    <row r="16" ht="34" customHeight="1">
      <c r="A16" s="8" t="inlineStr">
        <is>
          <t>L</t>
        </is>
      </c>
      <c r="B16" s="9" t="inlineStr">
        <is>
          <t>사업관리·기타</t>
        </is>
      </c>
      <c r="C16" s="10">
        <f>SUMIFS('02.기자재_리스트업'!$J$5:$J$202,'02.기자재_리스트업'!$B$5:$B$202,"L. 사업관리·기타",'02.기자재_리스트업'!$L$5:$L$202,"본안")</f>
        <v/>
      </c>
      <c r="D16" s="10">
        <f>SUMIFS('02.기자재_리스트업'!$J$5:$J$202,'02.기자재_리스트업'!$B$5:$B$202,"L. 사업관리·기타",'02.기자재_리스트업'!$L$5:$L$202,"옵션")</f>
        <v/>
      </c>
      <c r="E16" s="10">
        <f>C16+D16</f>
        <v/>
      </c>
      <c r="F16" s="10">
        <f>ROUND(E16/'05.전제조건'!$C$5,0)</f>
        <v/>
      </c>
      <c r="G16" s="11">
        <f>IFERROR(C16/$C$17,0)</f>
        <v/>
      </c>
      <c r="H16" s="12" t="inlineStr">
        <is>
          <t>F/S · 인허가·검역 · 국제운송(기자재비 8%) · A/S 예비부품 · 성과평가 · PMC(4%) · 예비비(5%)</t>
        </is>
      </c>
    </row>
    <row r="17" ht="26" customHeight="1">
      <c r="A17" s="13" t="n"/>
      <c r="B17" s="14" t="inlineStr">
        <is>
          <t>총  계</t>
        </is>
      </c>
      <c r="C17" s="15">
        <f>SUM(C5:C16)</f>
        <v/>
      </c>
      <c r="D17" s="15">
        <f>SUM(D5:D16)</f>
        <v/>
      </c>
      <c r="E17" s="15">
        <f>SUM(E5:E16)</f>
        <v/>
      </c>
      <c r="F17" s="15">
        <f>SUM(F5:F16)</f>
        <v/>
      </c>
      <c r="G17" s="16" t="n">
        <v>1</v>
      </c>
      <c r="H17" s="17" t="n"/>
    </row>
    <row r="19">
      <c r="A19" s="18" t="inlineStr">
        <is>
          <t>■ 재원 분담(안)</t>
        </is>
      </c>
    </row>
    <row r="20">
      <c r="A20" s="19" t="inlineStr">
        <is>
          <t>재원 구분</t>
        </is>
      </c>
      <c r="B20" s="19" t="inlineStr">
        <is>
          <t>본안(원)</t>
        </is>
      </c>
      <c r="C20" s="19" t="inlineStr">
        <is>
          <t>옵션(원)</t>
        </is>
      </c>
      <c r="D20" s="19" t="inlineStr">
        <is>
          <t>합계(원)</t>
        </is>
      </c>
      <c r="E20" s="19" t="inlineStr">
        <is>
          <t>합계(USD)</t>
        </is>
      </c>
      <c r="F20" s="19" t="inlineStr">
        <is>
          <t>설명</t>
        </is>
      </c>
    </row>
    <row r="21" ht="34" customHeight="1">
      <c r="A21" s="9" t="inlineStr">
        <is>
          <t>무상(KOICA)</t>
        </is>
      </c>
      <c r="B21" s="10">
        <f>SUMIFS('02.기자재_리스트업'!$J$5:$J$202,'02.기자재_리스트업'!$M$5:$M$202,"무상(KOICA)",'02.기자재_리스트업'!$L$5:$L$202,"본안")</f>
        <v/>
      </c>
      <c r="C21" s="10">
        <f>SUMIFS('02.기자재_리스트업'!$J$5:$J$202,'02.기자재_리스트업'!$M$5:$M$202,"무상(KOICA)",'02.기자재_리스트업'!$L$5:$L$202,"옵션")</f>
        <v/>
      </c>
      <c r="D21" s="10">
        <f>B21+C21</f>
        <v/>
      </c>
      <c r="E21" s="10">
        <f>ROUND(D21/'05.전제조건'!$C$5,0)</f>
        <v/>
      </c>
      <c r="F21" s="12" t="inlineStr">
        <is>
          <t>기자재·기술·역량이전 중심. KOICA 무상원조 표준 범위(실험실·A.I./ET 기자재·계측·교육·PMC)</t>
        </is>
      </c>
    </row>
    <row r="22" ht="34" customHeight="1">
      <c r="A22" s="9" t="inlineStr">
        <is>
          <t>차관·현지부담</t>
        </is>
      </c>
      <c r="B22" s="10">
        <f>SUMIFS('02.기자재_리스트업'!$J$5:$J$202,'02.기자재_리스트업'!$M$5:$M$202,"차관·현지부담",'02.기자재_리스트업'!$L$5:$L$202,"본안")</f>
        <v/>
      </c>
      <c r="C22" s="10">
        <f>SUMIFS('02.기자재_리스트업'!$J$5:$J$202,'02.기자재_리스트업'!$M$5:$M$202,"차관·현지부담",'02.기자재_리스트업'!$L$5:$L$202,"옵션")</f>
        <v/>
      </c>
      <c r="D22" s="10">
        <f>B22+C22</f>
        <v/>
      </c>
      <c r="E22" s="10">
        <f>ROUND(D22/'05.전제조건'!$C$5,0)</f>
        <v/>
      </c>
      <c r="F22" s="12" t="inlineStr">
        <is>
          <t>건축·토목·유가공 플랜트·태양광 등 자산성 투자. EDCF 양허성차관 또는 우즈벡측 부담 권장</t>
        </is>
      </c>
    </row>
    <row r="23" ht="34" customHeight="1">
      <c r="A23" s="9" t="inlineStr">
        <is>
          <t>민간(제네틱스·D2O)</t>
        </is>
      </c>
      <c r="B23" s="10">
        <f>SUMIFS('02.기자재_리스트업'!$J$5:$J$202,'02.기자재_리스트업'!$M$5:$M$202,"민간(제네틱스·D2O)",'02.기자재_리스트업'!$L$5:$L$202,"본안")</f>
        <v/>
      </c>
      <c r="C23" s="10">
        <f>SUMIFS('02.기자재_리스트업'!$J$5:$J$202,'02.기자재_리스트업'!$M$5:$M$202,"민간(제네틱스·D2O)",'02.기자재_리스트업'!$L$5:$L$202,"옵션")</f>
        <v/>
      </c>
      <c r="D23" s="10">
        <f>B23+C23</f>
        <v/>
      </c>
      <c r="E23" s="10">
        <f>ROUND(D23/'05.전제조건'!$C$5,0)</f>
        <v/>
      </c>
      <c r="F23" s="12" t="inlineStr">
        <is>
          <t>수정란·성감별정액·smaXtec 센서·CowTalk AI·Eco-BIT·D2O 베딩 — 제네틱스/D2O 투자 및 운영수익 회수 구조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N206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34" customWidth="1" min="4" max="4"/>
    <col width="44" customWidth="1" min="5" max="5"/>
    <col width="22" customWidth="1" min="6" max="6"/>
    <col width="6" customWidth="1" min="7" max="7"/>
    <col width="9" customWidth="1" min="8" max="8"/>
    <col width="14" customWidth="1" min="9" max="9"/>
    <col width="16" customWidth="1" min="10" max="10"/>
    <col width="12" customWidth="1" min="11" max="11"/>
    <col width="7" customWidth="1" min="12" max="12"/>
    <col width="15" customWidth="1" min="13" max="13"/>
    <col width="52" customWidth="1" min="14" max="14"/>
  </cols>
  <sheetData>
    <row r="1">
      <c r="A1" s="1" t="inlineStr">
        <is>
          <t>기자재 리스트업 (Master List)</t>
        </is>
      </c>
    </row>
    <row r="2">
      <c r="A2" s="2" t="inlineStr">
        <is>
          <t>★ 표시 = 원본 리스트 반영 또는 전략 핵심항목 | ▲ = 중복계상 주의 | 금액은 개산 추정치</t>
        </is>
      </c>
    </row>
    <row r="4" ht="30" customHeight="1">
      <c r="A4" s="7" t="inlineStr">
        <is>
          <t>No</t>
        </is>
      </c>
      <c r="B4" s="7" t="inlineStr">
        <is>
          <t>대분류</t>
        </is>
      </c>
      <c r="C4" s="7" t="inlineStr">
        <is>
          <t>중분류</t>
        </is>
      </c>
      <c r="D4" s="7" t="inlineStr">
        <is>
          <t>세부품목</t>
        </is>
      </c>
      <c r="E4" s="7" t="inlineStr">
        <is>
          <t>규격 · 사양</t>
        </is>
      </c>
      <c r="F4" s="7" t="inlineStr">
        <is>
          <t>제품/모델 예시</t>
        </is>
      </c>
      <c r="G4" s="7" t="inlineStr">
        <is>
          <t>단위</t>
        </is>
      </c>
      <c r="H4" s="7" t="inlineStr">
        <is>
          <t>수량</t>
        </is>
      </c>
      <c r="I4" s="7" t="inlineStr">
        <is>
          <t>추정단가(원)</t>
        </is>
      </c>
      <c r="J4" s="7" t="inlineStr">
        <is>
          <t>금액(원)</t>
        </is>
      </c>
      <c r="K4" s="7" t="inlineStr">
        <is>
          <t>금액(USD)</t>
        </is>
      </c>
      <c r="L4" s="7" t="inlineStr">
        <is>
          <t>구분</t>
        </is>
      </c>
      <c r="M4" s="7" t="inlineStr">
        <is>
          <t>재원(안)</t>
        </is>
      </c>
      <c r="N4" s="7" t="inlineStr">
        <is>
          <t>비고 · 전략 코멘트</t>
        </is>
      </c>
    </row>
    <row r="5" ht="30" customHeight="1">
      <c r="A5" s="20" t="n">
        <v>1</v>
      </c>
      <c r="B5" s="21" t="inlineStr">
        <is>
          <t>A. 건축·토목</t>
        </is>
      </c>
      <c r="C5" s="21" t="inlineStr">
        <is>
          <t>스마트 착유우사(테스트 및 실증)</t>
        </is>
      </c>
      <c r="D5" s="21" t="inlineStr">
        <is>
          <t>착유우사 신축</t>
        </is>
      </c>
      <c r="E5" s="21" t="inlineStr">
        <is>
          <t>60m × 45m × H10m = 2,700㎡ / 철골조+단열샌드위치판넬 / 프리스톨 / 군별 구획 / 자연환기(윈치커튼)+대형순환팬</t>
        </is>
      </c>
      <c r="F5" s="21" t="inlineStr">
        <is>
          <t>착유 100두 + 건유 20두 + 육성·후보 60두 = 180두 통합수용</t>
        </is>
      </c>
      <c r="G5" s="20" t="inlineStr">
        <is>
          <t>㎡</t>
        </is>
      </c>
      <c r="H5" s="22" t="n">
        <v>2700</v>
      </c>
      <c r="I5" s="23" t="n">
        <v>400000</v>
      </c>
      <c r="J5" s="24">
        <f>H5*I5</f>
        <v/>
      </c>
      <c r="K5" s="23">
        <f>ROUND(J5/'05.전제조건'!$C$5,0)</f>
        <v/>
      </c>
      <c r="L5" s="20" t="inlineStr">
        <is>
          <t>본안</t>
        </is>
      </c>
      <c r="M5" s="20" t="inlineStr">
        <is>
          <t>차관·현지부담</t>
        </is>
      </c>
      <c r="N5" s="25" t="inlineStr">
        <is>
          <t>★★ 원본 규격 유지 + 착유우 100두 기준. 두당 15㎡ — 별도 육성·건유우사 없이 한 동에 통합 수용. 향후 착유우 200두까지 증축 없이 확장 가능</t>
        </is>
      </c>
    </row>
    <row r="6" ht="30" customHeight="1">
      <c r="A6" s="20" t="n">
        <v>2</v>
      </c>
      <c r="B6" s="21" t="inlineStr">
        <is>
          <t>A. 건축·토목</t>
        </is>
      </c>
      <c r="C6" s="21" t="inlineStr">
        <is>
          <t>스마트 착유우사(테스트 및 실증)</t>
        </is>
      </c>
      <c r="D6" s="21" t="inlineStr">
        <is>
          <t>착유실(밀킹팔러동)·집유실</t>
        </is>
      </c>
      <c r="E6" s="21" t="inlineStr">
        <is>
          <t>300㎡ / 위생 방수마감 / 팔러실·원유실·기계실·세척실 구획</t>
        </is>
      </c>
      <c r="F6" s="21" t="inlineStr">
        <is>
          <t>팔러 2×8 수용</t>
        </is>
      </c>
      <c r="G6" s="20" t="inlineStr">
        <is>
          <t>㎡</t>
        </is>
      </c>
      <c r="H6" s="22" t="n">
        <v>300</v>
      </c>
      <c r="I6" s="23" t="n">
        <v>600000</v>
      </c>
      <c r="J6" s="24">
        <f>H6*I6</f>
        <v/>
      </c>
      <c r="K6" s="23">
        <f>ROUND(J6/'05.전제조건'!$C$5,0)</f>
        <v/>
      </c>
      <c r="L6" s="20" t="inlineStr">
        <is>
          <t>본안</t>
        </is>
      </c>
      <c r="M6" s="20" t="inlineStr">
        <is>
          <t>차관·현지부담</t>
        </is>
      </c>
      <c r="N6" s="21" t="inlineStr">
        <is>
          <t>착유설비 집약동 — 배수·방수·전기 사양 상향</t>
        </is>
      </c>
    </row>
    <row r="7" ht="30" customHeight="1">
      <c r="A7" s="20" t="n">
        <v>3</v>
      </c>
      <c r="B7" s="21" t="inlineStr">
        <is>
          <t>A. 건축·토목</t>
        </is>
      </c>
      <c r="C7" s="21" t="inlineStr">
        <is>
          <t>실험실</t>
        </is>
      </c>
      <c r="D7" s="21" t="inlineStr">
        <is>
          <t>번식·수정란 실험실동 신축</t>
        </is>
      </c>
      <c r="E7" s="21" t="inlineStr">
        <is>
          <t>10m × 20m = 200㎡ / 클린룸 Class 10,000 / 항온항습·양압 / 전실·탈의실 포함</t>
        </is>
      </c>
      <c r="F7" s="21" t="inlineStr">
        <is>
          <t>IVF·ET 통합 실험실</t>
        </is>
      </c>
      <c r="G7" s="20" t="inlineStr">
        <is>
          <t>㎡</t>
        </is>
      </c>
      <c r="H7" s="22" t="n">
        <v>200</v>
      </c>
      <c r="I7" s="23" t="n">
        <v>1500000</v>
      </c>
      <c r="J7" s="24">
        <f>H7*I7</f>
        <v/>
      </c>
      <c r="K7" s="23">
        <f>ROUND(J7/'05.전제조건'!$C$5,0)</f>
        <v/>
      </c>
      <c r="L7" s="20" t="inlineStr">
        <is>
          <t>본안</t>
        </is>
      </c>
      <c r="M7" s="20" t="inlineStr">
        <is>
          <t>무상(KOICA)</t>
        </is>
      </c>
      <c r="N7" s="21" t="inlineStr">
        <is>
          <t>★ 원본 리스트 규격(10×20m) 반영. 한국 시공 권장</t>
        </is>
      </c>
    </row>
    <row r="8" ht="30" customHeight="1">
      <c r="A8" s="20" t="n">
        <v>4</v>
      </c>
      <c r="B8" s="21" t="inlineStr">
        <is>
          <t>A. 건축·토목</t>
        </is>
      </c>
      <c r="C8" s="21" t="inlineStr">
        <is>
          <t>유가공공장</t>
        </is>
      </c>
      <c r="D8" s="21" t="inlineStr">
        <is>
          <t>유가공공장동 신축</t>
        </is>
      </c>
      <c r="E8" s="21" t="inlineStr">
        <is>
          <t>500㎡ / 1일 5톤 처리 / HACCP 대응 위생마감·에폭시바닥 / 원료유실·가공실·충전실·냉장실·시험실</t>
        </is>
      </c>
      <c r="F8" s="21" t="inlineStr">
        <is>
          <t>5 t/day Dairy Plant</t>
        </is>
      </c>
      <c r="G8" s="20" t="inlineStr">
        <is>
          <t>㎡</t>
        </is>
      </c>
      <c r="H8" s="22" t="n">
        <v>500</v>
      </c>
      <c r="I8" s="23" t="n">
        <v>1500000</v>
      </c>
      <c r="J8" s="24">
        <f>H8*I8</f>
        <v/>
      </c>
      <c r="K8" s="23">
        <f>ROUND(J8/'05.전제조건'!$C$5,0)</f>
        <v/>
      </c>
      <c r="L8" s="20" t="inlineStr">
        <is>
          <t>본안</t>
        </is>
      </c>
      <c r="M8" s="20" t="inlineStr">
        <is>
          <t>차관·현지부담</t>
        </is>
      </c>
      <c r="N8" s="21" t="inlineStr">
        <is>
          <t>★ 신규 추가(원본 미포함). 회장님 지시 1일 5톤 규모</t>
        </is>
      </c>
    </row>
    <row r="9" ht="30" customHeight="1">
      <c r="A9" s="20" t="n">
        <v>5</v>
      </c>
      <c r="B9" s="21" t="inlineStr">
        <is>
          <t>A. 건축·토목</t>
        </is>
      </c>
      <c r="C9" s="21" t="inlineStr">
        <is>
          <t>기타(분뇨처리 및 사료보관시설)</t>
        </is>
      </c>
      <c r="D9" s="21" t="inlineStr">
        <is>
          <t>퇴비사·분뇨처리동</t>
        </is>
      </c>
      <c r="E9" s="21" t="inlineStr">
        <is>
          <t>600㎡ / 지붕형 발효사 / 침출수 집수·차단층 / 수직발효조 설치공간 포함</t>
        </is>
      </c>
      <c r="F9" s="21" t="inlineStr">
        <is>
          <t>일 처리 10톤</t>
        </is>
      </c>
      <c r="G9" s="20" t="inlineStr">
        <is>
          <t>㎡</t>
        </is>
      </c>
      <c r="H9" s="22" t="n">
        <v>600</v>
      </c>
      <c r="I9" s="23" t="n">
        <v>350000</v>
      </c>
      <c r="J9" s="24">
        <f>H9*I9</f>
        <v/>
      </c>
      <c r="K9" s="23">
        <f>ROUND(J9/'05.전제조건'!$C$5,0)</f>
        <v/>
      </c>
      <c r="L9" s="20" t="inlineStr">
        <is>
          <t>본안</t>
        </is>
      </c>
      <c r="M9" s="20" t="inlineStr">
        <is>
          <t>차관·현지부담</t>
        </is>
      </c>
      <c r="N9" s="21" t="inlineStr">
        <is>
          <t>원본 리스트 '?' 항목 규격 확정</t>
        </is>
      </c>
    </row>
    <row r="10" ht="30" customHeight="1">
      <c r="A10" s="20" t="n">
        <v>6</v>
      </c>
      <c r="B10" s="21" t="inlineStr">
        <is>
          <t>A. 건축·토목</t>
        </is>
      </c>
      <c r="C10" s="21" t="inlineStr">
        <is>
          <t>기타(분뇨처리 및 사료보관시설)</t>
        </is>
      </c>
      <c r="D10" s="21" t="inlineStr">
        <is>
          <t>사료보관시설(조사료창고)</t>
        </is>
      </c>
      <c r="E10" s="21" t="inlineStr">
        <is>
          <t>450㎡ / 조사료·베일 보관 / 사일로 설치기초 포함</t>
        </is>
      </c>
      <c r="F10" s="21" t="inlineStr">
        <is>
          <t>베일 800롤 보관</t>
        </is>
      </c>
      <c r="G10" s="20" t="inlineStr">
        <is>
          <t>㎡</t>
        </is>
      </c>
      <c r="H10" s="22" t="n">
        <v>450</v>
      </c>
      <c r="I10" s="23" t="n">
        <v>250000</v>
      </c>
      <c r="J10" s="24">
        <f>H10*I10</f>
        <v/>
      </c>
      <c r="K10" s="23">
        <f>ROUND(J10/'05.전제조건'!$C$5,0)</f>
        <v/>
      </c>
      <c r="L10" s="20" t="inlineStr">
        <is>
          <t>본안</t>
        </is>
      </c>
      <c r="M10" s="20" t="inlineStr">
        <is>
          <t>차관·현지부담</t>
        </is>
      </c>
      <c r="N10" s="21" t="inlineStr">
        <is>
          <t>원본 리스트 '?' 항목 규격 확정</t>
        </is>
      </c>
    </row>
    <row r="11" ht="30" customHeight="1">
      <c r="A11" s="20" t="n">
        <v>7</v>
      </c>
      <c r="B11" s="21" t="inlineStr">
        <is>
          <t>A. 건축·토목</t>
        </is>
      </c>
      <c r="C11" s="21" t="inlineStr">
        <is>
          <t>기타</t>
        </is>
      </c>
      <c r="D11" s="21" t="inlineStr">
        <is>
          <t>관리동(사무·교육장·숙소)</t>
        </is>
      </c>
      <c r="E11" s="21" t="inlineStr">
        <is>
          <t>300㎡ / 사무실·교육장 40석·기숙사·식당</t>
        </is>
      </c>
      <c r="F11" s="21" t="inlineStr">
        <is>
          <t>기술전수 교육 거점</t>
        </is>
      </c>
      <c r="G11" s="20" t="inlineStr">
        <is>
          <t>㎡</t>
        </is>
      </c>
      <c r="H11" s="22" t="n">
        <v>300</v>
      </c>
      <c r="I11" s="23" t="n">
        <v>700000</v>
      </c>
      <c r="J11" s="24">
        <f>H11*I11</f>
        <v/>
      </c>
      <c r="K11" s="23">
        <f>ROUND(J11/'05.전제조건'!$C$5,0)</f>
        <v/>
      </c>
      <c r="L11" s="20" t="inlineStr">
        <is>
          <t>본안</t>
        </is>
      </c>
      <c r="M11" s="20" t="inlineStr">
        <is>
          <t>차관·현지부담</t>
        </is>
      </c>
      <c r="N11" s="21" t="inlineStr">
        <is>
          <t>K군 교육훈련의 현지 거점 — 필수</t>
        </is>
      </c>
    </row>
    <row r="12" ht="30" customHeight="1">
      <c r="A12" s="20" t="n">
        <v>8</v>
      </c>
      <c r="B12" s="21" t="inlineStr">
        <is>
          <t>A. 건축·토목</t>
        </is>
      </c>
      <c r="C12" s="21" t="inlineStr">
        <is>
          <t>축사 건축을 위한 기자재(철골 및 샌드위치 판넬 등)</t>
        </is>
      </c>
      <c r="D12" s="21" t="inlineStr">
        <is>
          <t>구조용 철골·단열판넬·환기자재(한국 조달분)</t>
        </is>
      </c>
      <c r="E12" s="21" t="inlineStr">
        <is>
          <t>H형강·C형강, 우레탄 샌드위치판넬 t=100, 윈치커튼·환기자재</t>
        </is>
      </c>
      <c r="F12" s="21" t="inlineStr">
        <is>
          <t>한국 조달 후 해상운송</t>
        </is>
      </c>
      <c r="G12" s="20" t="inlineStr">
        <is>
          <t>식</t>
        </is>
      </c>
      <c r="H12" s="22" t="n">
        <v>0</v>
      </c>
      <c r="I12" s="23" t="n">
        <v>0</v>
      </c>
      <c r="J12" s="24">
        <f>H12*I12</f>
        <v/>
      </c>
      <c r="K12" s="23">
        <f>ROUND(J12/'05.전제조건'!$C$5,0)</f>
        <v/>
      </c>
      <c r="L12" s="20" t="inlineStr">
        <is>
          <t>본안</t>
        </is>
      </c>
      <c r="M12" s="20" t="inlineStr">
        <is>
          <t>무상(KOICA)</t>
        </is>
      </c>
      <c r="N12" s="26" t="inlineStr">
        <is>
          <t>▲ 중복계상 방지 — 상기 ㎡ 단가에 포함. 별도 분리조달 시 건축비의 약 35% 상당을 이 항목으로 이관</t>
        </is>
      </c>
    </row>
    <row r="13" ht="30" customHeight="1">
      <c r="A13" s="20" t="n">
        <v>9</v>
      </c>
      <c r="B13" s="21" t="inlineStr">
        <is>
          <t>A. 건축·토목</t>
        </is>
      </c>
      <c r="C13" s="21" t="inlineStr">
        <is>
          <t>부대공사</t>
        </is>
      </c>
      <c r="D13" s="21" t="inlineStr">
        <is>
          <t>부지정지·구내도로·우수배수·울타리</t>
        </is>
      </c>
      <c r="E13" s="21" t="inlineStr">
        <is>
          <t>부지 2.5ha 기준 / 진입로 500m / 방역 울타리 600m</t>
        </is>
      </c>
      <c r="F13" s="21" t="inlineStr">
        <is>
          <t>-</t>
        </is>
      </c>
      <c r="G13" s="20" t="inlineStr">
        <is>
          <t>식</t>
        </is>
      </c>
      <c r="H13" s="22" t="n">
        <v>1</v>
      </c>
      <c r="I13" s="23" t="n">
        <v>260000000</v>
      </c>
      <c r="J13" s="24">
        <f>H13*I13</f>
        <v/>
      </c>
      <c r="K13" s="23">
        <f>ROUND(J13/'05.전제조건'!$C$5,0)</f>
        <v/>
      </c>
      <c r="L13" s="20" t="inlineStr">
        <is>
          <t>본안</t>
        </is>
      </c>
      <c r="M13" s="20" t="inlineStr">
        <is>
          <t>차관·현지부담</t>
        </is>
      </c>
      <c r="N13" s="21" t="inlineStr">
        <is>
          <t>부지는 우즈벡측 무상 제공 전제</t>
        </is>
      </c>
    </row>
    <row r="14" ht="30" customHeight="1">
      <c r="A14" s="20" t="n">
        <v>10</v>
      </c>
      <c r="B14" s="21" t="inlineStr">
        <is>
          <t>A. 건축·토목</t>
        </is>
      </c>
      <c r="C14" s="21" t="inlineStr">
        <is>
          <t>부대공사</t>
        </is>
      </c>
      <c r="D14" s="21" t="inlineStr">
        <is>
          <t>전기 인입·수변전(800kVA)·비상발전(300kW)</t>
        </is>
      </c>
      <c r="E14" s="21" t="inlineStr">
        <is>
          <t>고압인입, 변압기, 비상발전기(실험실·유가공 무정전 연동)</t>
        </is>
      </c>
      <c r="F14" s="21" t="inlineStr">
        <is>
          <t>-</t>
        </is>
      </c>
      <c r="G14" s="20" t="inlineStr">
        <is>
          <t>식</t>
        </is>
      </c>
      <c r="H14" s="22" t="n">
        <v>1</v>
      </c>
      <c r="I14" s="23" t="n">
        <v>320000000</v>
      </c>
      <c r="J14" s="24">
        <f>H14*I14</f>
        <v/>
      </c>
      <c r="K14" s="23">
        <f>ROUND(J14/'05.전제조건'!$C$5,0)</f>
        <v/>
      </c>
      <c r="L14" s="20" t="inlineStr">
        <is>
          <t>본안</t>
        </is>
      </c>
      <c r="M14" s="20" t="inlineStr">
        <is>
          <t>차관·현지부담</t>
        </is>
      </c>
      <c r="N14" s="21" t="inlineStr">
        <is>
          <t>★ 정전 시 수정란·원유 손실 방지 — 비상발전 필수</t>
        </is>
      </c>
    </row>
    <row r="15" ht="30" customHeight="1">
      <c r="A15" s="20" t="n">
        <v>11</v>
      </c>
      <c r="B15" s="21" t="inlineStr">
        <is>
          <t>A. 건축·토목</t>
        </is>
      </c>
      <c r="C15" s="21" t="inlineStr">
        <is>
          <t>부대공사</t>
        </is>
      </c>
      <c r="D15" s="21" t="inlineStr">
        <is>
          <t>지하수 관정·급수·정수 설비</t>
        </is>
      </c>
      <c r="E15" s="21" t="inlineStr">
        <is>
          <t>관정 2공(200m), 급수탑 100톤, 여과·소독</t>
        </is>
      </c>
      <c r="F15" s="21" t="inlineStr">
        <is>
          <t>-</t>
        </is>
      </c>
      <c r="G15" s="20" t="inlineStr">
        <is>
          <t>식</t>
        </is>
      </c>
      <c r="H15" s="22" t="n">
        <v>1</v>
      </c>
      <c r="I15" s="23" t="n">
        <v>150000000</v>
      </c>
      <c r="J15" s="24">
        <f>H15*I15</f>
        <v/>
      </c>
      <c r="K15" s="23">
        <f>ROUND(J15/'05.전제조건'!$C$5,0)</f>
        <v/>
      </c>
      <c r="L15" s="20" t="inlineStr">
        <is>
          <t>본안</t>
        </is>
      </c>
      <c r="M15" s="20" t="inlineStr">
        <is>
          <t>차관·현지부담</t>
        </is>
      </c>
      <c r="N15" s="21" t="inlineStr">
        <is>
          <t>유가공 용수 수질 확보가 관건</t>
        </is>
      </c>
    </row>
    <row r="16" ht="30" customHeight="1">
      <c r="A16" s="20" t="n">
        <v>12</v>
      </c>
      <c r="B16" s="21" t="inlineStr">
        <is>
          <t>A. 건축·토목</t>
        </is>
      </c>
      <c r="C16" s="21" t="inlineStr">
        <is>
          <t>부대공사</t>
        </is>
      </c>
      <c r="D16" s="21" t="inlineStr">
        <is>
          <t>소방·방역시설(차량소독기·방역실·소독조)</t>
        </is>
      </c>
      <c r="E16" s="21" t="inlineStr">
        <is>
          <t>출입 차량소독기 1식, 방역실, 발판소독조</t>
        </is>
      </c>
      <c r="F16" s="21" t="inlineStr">
        <is>
          <t>-</t>
        </is>
      </c>
      <c r="G16" s="20" t="inlineStr">
        <is>
          <t>식</t>
        </is>
      </c>
      <c r="H16" s="22" t="n">
        <v>1</v>
      </c>
      <c r="I16" s="23" t="n">
        <v>120000000</v>
      </c>
      <c r="J16" s="24">
        <f>H16*I16</f>
        <v/>
      </c>
      <c r="K16" s="23">
        <f>ROUND(J16/'05.전제조건'!$C$5,0)</f>
        <v/>
      </c>
      <c r="L16" s="20" t="inlineStr">
        <is>
          <t>본안</t>
        </is>
      </c>
      <c r="M16" s="20" t="inlineStr">
        <is>
          <t>차관·현지부담</t>
        </is>
      </c>
      <c r="N16" s="21" t="inlineStr">
        <is>
          <t>우즈벡 FMD·LSD 방역 요건 대응</t>
        </is>
      </c>
    </row>
    <row r="17" ht="30" customHeight="1">
      <c r="A17" s="20" t="n">
        <v>13</v>
      </c>
      <c r="B17" s="21" t="inlineStr">
        <is>
          <t>A. 건축·토목</t>
        </is>
      </c>
      <c r="C17" s="21" t="inlineStr">
        <is>
          <t>설계·감리</t>
        </is>
      </c>
      <c r="D17" s="21" t="inlineStr">
        <is>
          <t>기본설계·실시설계·시공감리</t>
        </is>
      </c>
      <c r="E17" s="21" t="inlineStr">
        <is>
          <t>건축·토목·설비·전기 통합 / 감리 상주</t>
        </is>
      </c>
      <c r="F17" s="21" t="inlineStr">
        <is>
          <t>건축공사비의 7%</t>
        </is>
      </c>
      <c r="G17" s="20" t="inlineStr">
        <is>
          <t>식</t>
        </is>
      </c>
      <c r="H17" s="22" t="n">
        <v>1</v>
      </c>
      <c r="I17" s="23">
        <f>J17</f>
        <v/>
      </c>
      <c r="J17" s="24">
        <f>ROUND(SUMIFS($J$5:$J$16,$L$5:$L$16,"본안")*0.07,-5)</f>
        <v/>
      </c>
      <c r="K17" s="23">
        <f>ROUND(J17/'05.전제조건'!$C$5,0)</f>
        <v/>
      </c>
      <c r="L17" s="20" t="inlineStr">
        <is>
          <t>본안</t>
        </is>
      </c>
      <c r="M17" s="20" t="inlineStr">
        <is>
          <t>무상(KOICA)</t>
        </is>
      </c>
      <c r="N17" s="21">
        <f>금액 자동계산(건축군 본안 소계 × 7%)</f>
        <v/>
      </c>
    </row>
    <row r="18" ht="30" customHeight="1">
      <c r="A18" s="27" t="n">
        <v>14</v>
      </c>
      <c r="B18" s="28" t="inlineStr">
        <is>
          <t>B. 착유·집유 설비</t>
        </is>
      </c>
      <c r="C18" s="28" t="inlineStr">
        <is>
          <t>팔러 착유 시스템</t>
        </is>
      </c>
      <c r="D18" s="28" t="inlineStr">
        <is>
          <t>팔러착유기 헤링본 2×8 (16유닛)</t>
        </is>
      </c>
      <c r="E18" s="28" t="inlineStr">
        <is>
          <t>자동탈착(ACR), 전자유량계, 개체인식, 자동세척, 착유시간 약 1.5h/회 · 2회 착유</t>
        </is>
      </c>
      <c r="F18" s="28" t="inlineStr">
        <is>
          <t>GEA / DeLaval / BouMatic 급</t>
        </is>
      </c>
      <c r="G18" s="27" t="inlineStr">
        <is>
          <t>식</t>
        </is>
      </c>
      <c r="H18" s="29" t="n">
        <v>1</v>
      </c>
      <c r="I18" s="30" t="n">
        <v>260000000</v>
      </c>
      <c r="J18" s="31">
        <f>H18*I18</f>
        <v/>
      </c>
      <c r="K18" s="30">
        <f>ROUND(J18/'05.전제조건'!$C$5,0)</f>
        <v/>
      </c>
      <c r="L18" s="27" t="inlineStr">
        <is>
          <t>본안</t>
        </is>
      </c>
      <c r="M18" s="27" t="inlineStr">
        <is>
          <t>무상(KOICA)</t>
        </is>
      </c>
      <c r="N18" s="28" t="inlineStr">
        <is>
          <t>★ 회장님 지시항목. 착유우 100두 기준 2×8이 최적 (200두 확장 시 2×12로 증설)</t>
        </is>
      </c>
    </row>
    <row r="19" ht="30" customHeight="1">
      <c r="A19" s="27" t="n">
        <v>15</v>
      </c>
      <c r="B19" s="28" t="inlineStr">
        <is>
          <t>B. 착유·집유 설비</t>
        </is>
      </c>
      <c r="C19" s="28" t="inlineStr">
        <is>
          <t>팔러 착유 시스템</t>
        </is>
      </c>
      <c r="D19" s="28" t="inlineStr">
        <is>
          <t>진공펌프(인버터 제어) 및 진공배관</t>
        </is>
      </c>
      <c r="E19" s="28" t="inlineStr">
        <is>
          <t>2,200 L/min 급, 주파수제어형</t>
        </is>
      </c>
      <c r="F19" s="28" t="inlineStr">
        <is>
          <t>-</t>
        </is>
      </c>
      <c r="G19" s="27" t="inlineStr">
        <is>
          <t>식</t>
        </is>
      </c>
      <c r="H19" s="29" t="n">
        <v>1</v>
      </c>
      <c r="I19" s="30" t="n">
        <v>35000000</v>
      </c>
      <c r="J19" s="31">
        <f>H19*I19</f>
        <v/>
      </c>
      <c r="K19" s="30">
        <f>ROUND(J19/'05.전제조건'!$C$5,0)</f>
        <v/>
      </c>
      <c r="L19" s="27" t="inlineStr">
        <is>
          <t>본안</t>
        </is>
      </c>
      <c r="M19" s="27" t="inlineStr">
        <is>
          <t>무상(KOICA)</t>
        </is>
      </c>
      <c r="N19" s="28" t="inlineStr">
        <is>
          <t>에너지 절감형</t>
        </is>
      </c>
    </row>
    <row r="20" ht="30" customHeight="1">
      <c r="A20" s="27" t="n">
        <v>16</v>
      </c>
      <c r="B20" s="28" t="inlineStr">
        <is>
          <t>B. 착유·집유 설비</t>
        </is>
      </c>
      <c r="C20" s="28" t="inlineStr">
        <is>
          <t>팔러 착유 시스템</t>
        </is>
      </c>
      <c r="D20" s="28" t="inlineStr">
        <is>
          <t>개체인식 리더·태그(ICAR 인증)</t>
        </is>
      </c>
      <c r="E20" s="28" t="inlineStr">
        <is>
          <t>전 사육두수 180두분 + 팔러 안테나</t>
        </is>
      </c>
      <c r="F20" s="28" t="inlineStr">
        <is>
          <t>-</t>
        </is>
      </c>
      <c r="G20" s="27" t="inlineStr">
        <is>
          <t>식</t>
        </is>
      </c>
      <c r="H20" s="29" t="n">
        <v>1</v>
      </c>
      <c r="I20" s="30" t="n">
        <v>40000000</v>
      </c>
      <c r="J20" s="31">
        <f>H20*I20</f>
        <v/>
      </c>
      <c r="K20" s="30">
        <f>ROUND(J20/'05.전제조건'!$C$5,0)</f>
        <v/>
      </c>
      <c r="L20" s="27" t="inlineStr">
        <is>
          <t>본안</t>
        </is>
      </c>
      <c r="M20" s="27" t="inlineStr">
        <is>
          <t>무상(KOICA)</t>
        </is>
      </c>
      <c r="N20" s="28" t="inlineStr">
        <is>
          <t>CowTalk AI 개체 매칭 키</t>
        </is>
      </c>
    </row>
    <row r="21" ht="30" customHeight="1">
      <c r="A21" s="27" t="n">
        <v>17</v>
      </c>
      <c r="B21" s="28" t="inlineStr">
        <is>
          <t>B. 착유·집유 설비</t>
        </is>
      </c>
      <c r="C21" s="28" t="inlineStr">
        <is>
          <t>팔러 착유 시스템</t>
        </is>
      </c>
      <c r="D21" s="28" t="inlineStr">
        <is>
          <t>자동 선별게이트(Sort Gate) 2구</t>
        </is>
      </c>
      <c r="E21" s="28" t="inlineStr">
        <is>
          <t>수정·진료·건유 자동 분리</t>
        </is>
      </c>
      <c r="F21" s="28" t="inlineStr">
        <is>
          <t>-</t>
        </is>
      </c>
      <c r="G21" s="27" t="inlineStr">
        <is>
          <t>식</t>
        </is>
      </c>
      <c r="H21" s="29" t="n">
        <v>1</v>
      </c>
      <c r="I21" s="30" t="n">
        <v>32000000</v>
      </c>
      <c r="J21" s="31">
        <f>H21*I21</f>
        <v/>
      </c>
      <c r="K21" s="30">
        <f>ROUND(J21/'05.전제조건'!$C$5,0)</f>
        <v/>
      </c>
      <c r="L21" s="27" t="inlineStr">
        <is>
          <t>본안</t>
        </is>
      </c>
      <c r="M21" s="27" t="inlineStr">
        <is>
          <t>무상(KOICA)</t>
        </is>
      </c>
      <c r="N21" s="28" t="inlineStr">
        <is>
          <t>센서 알람 → 자동 선별 연동</t>
        </is>
      </c>
    </row>
    <row r="22" ht="30" customHeight="1">
      <c r="A22" s="27" t="n">
        <v>18</v>
      </c>
      <c r="B22" s="28" t="inlineStr">
        <is>
          <t>B. 착유·집유 설비</t>
        </is>
      </c>
      <c r="C22" s="28" t="inlineStr">
        <is>
          <t>냉각 및 집유 시스템(원유 냉각 탱크 등)</t>
        </is>
      </c>
      <c r="D22" s="28" t="inlineStr">
        <is>
          <t>원유냉각탱크 3,000L</t>
        </is>
      </c>
      <c r="E22" s="28" t="inlineStr">
        <is>
          <t>직냉식, 자동세척(CIP), 원격 온도감시</t>
        </is>
      </c>
      <c r="F22" s="28" t="inlineStr">
        <is>
          <t>-</t>
        </is>
      </c>
      <c r="G22" s="27" t="inlineStr">
        <is>
          <t>대</t>
        </is>
      </c>
      <c r="H22" s="29" t="n">
        <v>2</v>
      </c>
      <c r="I22" s="30" t="n">
        <v>45000000</v>
      </c>
      <c r="J22" s="31">
        <f>H22*I22</f>
        <v/>
      </c>
      <c r="K22" s="30">
        <f>ROUND(J22/'05.전제조건'!$C$5,0)</f>
        <v/>
      </c>
      <c r="L22" s="27" t="inlineStr">
        <is>
          <t>본안</t>
        </is>
      </c>
      <c r="M22" s="27" t="inlineStr">
        <is>
          <t>무상(KOICA)</t>
        </is>
      </c>
      <c r="N22" s="28" t="inlineStr">
        <is>
          <t>★ 원본 리스트 반영. 자가 원유 2.5톤/일 × 2회 집유 대응(예비 1기)</t>
        </is>
      </c>
    </row>
    <row r="23" ht="30" customHeight="1">
      <c r="A23" s="27" t="n">
        <v>19</v>
      </c>
      <c r="B23" s="28" t="inlineStr">
        <is>
          <t>B. 착유·집유 설비</t>
        </is>
      </c>
      <c r="C23" s="28" t="inlineStr">
        <is>
          <t>냉각 및 집유 시스템(원유 냉각 탱크 등)</t>
        </is>
      </c>
      <c r="D23" s="28" t="inlineStr">
        <is>
          <t>프리쿨러(판형열교환기)·원유펌프·온수기 500L</t>
        </is>
      </c>
      <c r="E23" s="28" t="inlineStr">
        <is>
          <t>열회수형 — 냉각 전력 30% 절감 목표</t>
        </is>
      </c>
      <c r="F23" s="28" t="inlineStr">
        <is>
          <t>-</t>
        </is>
      </c>
      <c r="G23" s="27" t="inlineStr">
        <is>
          <t>식</t>
        </is>
      </c>
      <c r="H23" s="29" t="n">
        <v>1</v>
      </c>
      <c r="I23" s="30" t="n">
        <v>35000000</v>
      </c>
      <c r="J23" s="31">
        <f>H23*I23</f>
        <v/>
      </c>
      <c r="K23" s="30">
        <f>ROUND(J23/'05.전제조건'!$C$5,0)</f>
        <v/>
      </c>
      <c r="L23" s="27" t="inlineStr">
        <is>
          <t>본안</t>
        </is>
      </c>
      <c r="M23" s="27" t="inlineStr">
        <is>
          <t>무상(KOICA)</t>
        </is>
      </c>
      <c r="N23" s="28" t="inlineStr">
        <is>
          <t>회수열로 세척온수 공급</t>
        </is>
      </c>
    </row>
    <row r="24" ht="30" customHeight="1">
      <c r="A24" s="27" t="n">
        <v>20</v>
      </c>
      <c r="B24" s="28" t="inlineStr">
        <is>
          <t>B. 착유·집유 설비</t>
        </is>
      </c>
      <c r="C24" s="28" t="inlineStr">
        <is>
          <t>냉각 및 집유 시스템(원유 냉각 탱크 등)</t>
        </is>
      </c>
      <c r="D24" s="28" t="inlineStr">
        <is>
          <t>자동 CIP 세척장치(착유라인)</t>
        </is>
      </c>
      <c r="E24" s="28" t="inlineStr">
        <is>
          <t>산·알칼리 2액 자동, 온도·농도 기록</t>
        </is>
      </c>
      <c r="F24" s="28" t="inlineStr">
        <is>
          <t>-</t>
        </is>
      </c>
      <c r="G24" s="27" t="inlineStr">
        <is>
          <t>식</t>
        </is>
      </c>
      <c r="H24" s="29" t="n">
        <v>1</v>
      </c>
      <c r="I24" s="30" t="n">
        <v>30000000</v>
      </c>
      <c r="J24" s="31">
        <f>H24*I24</f>
        <v/>
      </c>
      <c r="K24" s="30">
        <f>ROUND(J24/'05.전제조건'!$C$5,0)</f>
        <v/>
      </c>
      <c r="L24" s="27" t="inlineStr">
        <is>
          <t>본안</t>
        </is>
      </c>
      <c r="M24" s="27" t="inlineStr">
        <is>
          <t>무상(KOICA)</t>
        </is>
      </c>
      <c r="N24" s="28" t="inlineStr">
        <is>
          <t>체세포·세균수 관리의 핵심</t>
        </is>
      </c>
    </row>
    <row r="25" ht="30" customHeight="1">
      <c r="A25" s="27" t="n">
        <v>21</v>
      </c>
      <c r="B25" s="28" t="inlineStr">
        <is>
          <t>B. 착유·집유 설비</t>
        </is>
      </c>
      <c r="C25" s="28" t="inlineStr">
        <is>
          <t>냉각 및 집유 시스템(원유 냉각 탱크 등)</t>
        </is>
      </c>
      <c r="D25" s="28" t="inlineStr">
        <is>
          <t>축사→유가공공장 위생 원유배관</t>
        </is>
      </c>
      <c r="E25" s="28" t="inlineStr">
        <is>
          <t>SUS316L, 100m, 보온·CIP 대응</t>
        </is>
      </c>
      <c r="F25" s="28" t="inlineStr">
        <is>
          <t>-</t>
        </is>
      </c>
      <c r="G25" s="27" t="inlineStr">
        <is>
          <t>식</t>
        </is>
      </c>
      <c r="H25" s="29" t="n">
        <v>1</v>
      </c>
      <c r="I25" s="30" t="n">
        <v>60000000</v>
      </c>
      <c r="J25" s="31">
        <f>H25*I25</f>
        <v/>
      </c>
      <c r="K25" s="30">
        <f>ROUND(J25/'05.전제조건'!$C$5,0)</f>
        <v/>
      </c>
      <c r="L25" s="27" t="inlineStr">
        <is>
          <t>본안</t>
        </is>
      </c>
      <c r="M25" s="27" t="inlineStr">
        <is>
          <t>무상(KOICA)</t>
        </is>
      </c>
      <c r="N25" s="28" t="inlineStr">
        <is>
          <t>무살균 이송으로 신선도 확보</t>
        </is>
      </c>
    </row>
    <row r="26" ht="30" customHeight="1">
      <c r="A26" s="27" t="n">
        <v>22</v>
      </c>
      <c r="B26" s="28" t="inlineStr">
        <is>
          <t>B. 착유·집유 설비</t>
        </is>
      </c>
      <c r="C26" s="28" t="inlineStr">
        <is>
          <t>유방염 예방 자재</t>
        </is>
      </c>
      <c r="D26" s="28" t="inlineStr">
        <is>
          <t>티트스프레이·드라핑·발굽욕조·소모품 초기분</t>
        </is>
      </c>
      <c r="E26" s="28" t="inlineStr">
        <is>
          <t>1년분</t>
        </is>
      </c>
      <c r="F26" s="28" t="inlineStr">
        <is>
          <t>-</t>
        </is>
      </c>
      <c r="G26" s="27" t="inlineStr">
        <is>
          <t>식</t>
        </is>
      </c>
      <c r="H26" s="29" t="n">
        <v>1</v>
      </c>
      <c r="I26" s="30" t="n">
        <v>15000000</v>
      </c>
      <c r="J26" s="31">
        <f>H26*I26</f>
        <v/>
      </c>
      <c r="K26" s="30">
        <f>ROUND(J26/'05.전제조건'!$C$5,0)</f>
        <v/>
      </c>
      <c r="L26" s="27" t="inlineStr">
        <is>
          <t>본안</t>
        </is>
      </c>
      <c r="M26" s="27" t="inlineStr">
        <is>
          <t>무상(KOICA)</t>
        </is>
      </c>
      <c r="N26" s="28" t="inlineStr">
        <is>
          <t>-</t>
        </is>
      </c>
    </row>
    <row r="27" ht="30" customHeight="1">
      <c r="A27" s="27" t="n">
        <v>23</v>
      </c>
      <c r="B27" s="28" t="inlineStr">
        <is>
          <t>B. 착유·집유 설비</t>
        </is>
      </c>
      <c r="C27" s="28" t="inlineStr">
        <is>
          <t>자동 착유 시스템(로봇 등)</t>
        </is>
      </c>
      <c r="D27" s="28" t="inlineStr">
        <is>
          <t>[옵션] 착유로봇 1대 (실증·교육 시연용)</t>
        </is>
      </c>
      <c r="E27" s="28" t="inlineStr">
        <is>
          <t>60두/대, 자동유두인식</t>
        </is>
      </c>
      <c r="F27" s="28" t="inlineStr">
        <is>
          <t>Lely / DeLaval / GEA 급</t>
        </is>
      </c>
      <c r="G27" s="27" t="inlineStr">
        <is>
          <t>대</t>
        </is>
      </c>
      <c r="H27" s="29" t="n">
        <v>1</v>
      </c>
      <c r="I27" s="30" t="n">
        <v>450000000</v>
      </c>
      <c r="J27" s="31">
        <f>H27*I27</f>
        <v/>
      </c>
      <c r="K27" s="30">
        <f>ROUND(J27/'05.전제조건'!$C$5,0)</f>
        <v/>
      </c>
      <c r="L27" s="32" t="inlineStr">
        <is>
          <t>옵션</t>
        </is>
      </c>
      <c r="M27" s="27" t="inlineStr">
        <is>
          <t>무상(KOICA)</t>
        </is>
      </c>
      <c r="N27" s="28" t="inlineStr">
        <is>
          <t>★ 원본 리스트 '자동착유(로봇)' 반영. 본안은 팔러 + 로봇 1대 시연 병행 권장</t>
        </is>
      </c>
    </row>
    <row r="28" ht="30" customHeight="1">
      <c r="A28" s="20" t="n">
        <v>24</v>
      </c>
      <c r="B28" s="21" t="inlineStr">
        <is>
          <t>C. 사료·급이 설비</t>
        </is>
      </c>
      <c r="C28" s="21" t="inlineStr">
        <is>
          <t>사료 배합기 및 공급 시스템</t>
        </is>
      </c>
      <c r="D28" s="21" t="inlineStr">
        <is>
          <t>TMR 배합기 (견인식 수직 2축) 10㎥</t>
        </is>
      </c>
      <c r="E28" s="21" t="inlineStr">
        <is>
          <t>전자저울, 자동배출 컨베이어, 트랙터 PTO 구동</t>
        </is>
      </c>
      <c r="F28" s="21" t="inlineStr">
        <is>
          <t>국산 / Faresin / Storti 급</t>
        </is>
      </c>
      <c r="G28" s="20" t="inlineStr">
        <is>
          <t>대</t>
        </is>
      </c>
      <c r="H28" s="22" t="n">
        <v>1</v>
      </c>
      <c r="I28" s="23" t="n">
        <v>70000000</v>
      </c>
      <c r="J28" s="24">
        <f>H28*I28</f>
        <v/>
      </c>
      <c r="K28" s="23">
        <f>ROUND(J28/'05.전제조건'!$C$5,0)</f>
        <v/>
      </c>
      <c r="L28" s="20" t="inlineStr">
        <is>
          <t>본안</t>
        </is>
      </c>
      <c r="M28" s="20" t="inlineStr">
        <is>
          <t>무상(KOICA)</t>
        </is>
      </c>
      <c r="N28" s="21" t="inlineStr">
        <is>
          <t>★ 회장님 지시항목. 180두 · 일 TMR 약 7.8톤 대응</t>
        </is>
      </c>
    </row>
    <row r="29" ht="30" customHeight="1">
      <c r="A29" s="20" t="n">
        <v>25</v>
      </c>
      <c r="B29" s="21" t="inlineStr">
        <is>
          <t>C. 사료·급이 설비</t>
        </is>
      </c>
      <c r="C29" s="21" t="inlineStr">
        <is>
          <t>사료 배합기 및 공급 시스템</t>
        </is>
      </c>
      <c r="D29" s="21" t="inlineStr">
        <is>
          <t>TMR 배합기 (견인식 수직) 6㎥</t>
        </is>
      </c>
      <c r="E29" s="21" t="inlineStr">
        <is>
          <t>육성·건유우 전용 / 예비기</t>
        </is>
      </c>
      <c r="F29" s="21" t="inlineStr">
        <is>
          <t>-</t>
        </is>
      </c>
      <c r="G29" s="20" t="inlineStr">
        <is>
          <t>대</t>
        </is>
      </c>
      <c r="H29" s="22" t="n">
        <v>1</v>
      </c>
      <c r="I29" s="23" t="n">
        <v>42000000</v>
      </c>
      <c r="J29" s="24">
        <f>H29*I29</f>
        <v/>
      </c>
      <c r="K29" s="23">
        <f>ROUND(J29/'05.전제조건'!$C$5,0)</f>
        <v/>
      </c>
      <c r="L29" s="20" t="inlineStr">
        <is>
          <t>본안</t>
        </is>
      </c>
      <c r="M29" s="20" t="inlineStr">
        <is>
          <t>무상(KOICA)</t>
        </is>
      </c>
      <c r="N29" s="21" t="inlineStr">
        <is>
          <t>군별 분리급여 및 고장 대비 이중화</t>
        </is>
      </c>
    </row>
    <row r="30" ht="30" customHeight="1">
      <c r="A30" s="20" t="n">
        <v>26</v>
      </c>
      <c r="B30" s="21" t="inlineStr">
        <is>
          <t>C. 사료·급이 설비</t>
        </is>
      </c>
      <c r="C30" s="21" t="inlineStr">
        <is>
          <t>사료 배합기 및 공급 시스템</t>
        </is>
      </c>
      <c r="D30" s="21" t="inlineStr">
        <is>
          <t>사료급이기 (자동 사료밀기 로봇)</t>
        </is>
      </c>
      <c r="E30" s="21" t="inlineStr">
        <is>
          <t>자율주행, 1일 8회 사료밀기</t>
        </is>
      </c>
      <c r="F30" s="21" t="inlineStr">
        <is>
          <t>Lely Juno 급</t>
        </is>
      </c>
      <c r="G30" s="20" t="inlineStr">
        <is>
          <t>대</t>
        </is>
      </c>
      <c r="H30" s="22" t="n">
        <v>1</v>
      </c>
      <c r="I30" s="23" t="n">
        <v>60000000</v>
      </c>
      <c r="J30" s="24">
        <f>H30*I30</f>
        <v/>
      </c>
      <c r="K30" s="23">
        <f>ROUND(J30/'05.전제조건'!$C$5,0)</f>
        <v/>
      </c>
      <c r="L30" s="20" t="inlineStr">
        <is>
          <t>본안</t>
        </is>
      </c>
      <c r="M30" s="20" t="inlineStr">
        <is>
          <t>무상(KOICA)</t>
        </is>
      </c>
      <c r="N30" s="21" t="inlineStr">
        <is>
          <t>★ 원본 '사료급이기' 항목 확정 — 사료섭취량 5~8% 증가 기대</t>
        </is>
      </c>
    </row>
    <row r="31" ht="30" customHeight="1">
      <c r="A31" s="20" t="n">
        <v>27</v>
      </c>
      <c r="B31" s="21" t="inlineStr">
        <is>
          <t>C. 사료·급이 설비</t>
        </is>
      </c>
      <c r="C31" s="21" t="inlineStr">
        <is>
          <t>사료 배합기 및 공급 시스템</t>
        </is>
      </c>
      <c r="D31" s="21" t="inlineStr">
        <is>
          <t>농후사료 배합기 IJ-600L</t>
        </is>
      </c>
      <c r="E31" s="21" t="inlineStr">
        <is>
          <t>600L, 자가배합·프리믹스용</t>
        </is>
      </c>
      <c r="F31" s="21" t="inlineStr">
        <is>
          <t>IJ-600L (원본 리스트 명기)</t>
        </is>
      </c>
      <c r="G31" s="20" t="inlineStr">
        <is>
          <t>대</t>
        </is>
      </c>
      <c r="H31" s="22" t="n">
        <v>1</v>
      </c>
      <c r="I31" s="23" t="n">
        <v>12000000</v>
      </c>
      <c r="J31" s="24">
        <f>H31*I31</f>
        <v/>
      </c>
      <c r="K31" s="23">
        <f>ROUND(J31/'05.전제조건'!$C$5,0)</f>
        <v/>
      </c>
      <c r="L31" s="20" t="inlineStr">
        <is>
          <t>본안</t>
        </is>
      </c>
      <c r="M31" s="20" t="inlineStr">
        <is>
          <t>무상(KOICA)</t>
        </is>
      </c>
      <c r="N31" s="21" t="inlineStr">
        <is>
          <t>★ 원본 리스트 제품명 그대로 반영</t>
        </is>
      </c>
    </row>
    <row r="32" ht="30" customHeight="1">
      <c r="A32" s="20" t="n">
        <v>28</v>
      </c>
      <c r="B32" s="21" t="inlineStr">
        <is>
          <t>C. 사료·급이 설비</t>
        </is>
      </c>
      <c r="C32" s="21" t="inlineStr">
        <is>
          <t>사료 배합기 및 공급 시스템</t>
        </is>
      </c>
      <c r="D32" s="21" t="inlineStr">
        <is>
          <t>농후사료 사일로 20톤 + 이송오거</t>
        </is>
      </c>
      <c r="E32" s="21" t="inlineStr">
        <is>
          <t>FRP/철제, 자동 이송</t>
        </is>
      </c>
      <c r="F32" s="21" t="inlineStr">
        <is>
          <t>-</t>
        </is>
      </c>
      <c r="G32" s="20" t="inlineStr">
        <is>
          <t>기</t>
        </is>
      </c>
      <c r="H32" s="22" t="n">
        <v>2</v>
      </c>
      <c r="I32" s="23" t="n">
        <v>20000000</v>
      </c>
      <c r="J32" s="24">
        <f>H32*I32</f>
        <v/>
      </c>
      <c r="K32" s="23">
        <f>ROUND(J32/'05.전제조건'!$C$5,0)</f>
        <v/>
      </c>
      <c r="L32" s="20" t="inlineStr">
        <is>
          <t>본안</t>
        </is>
      </c>
      <c r="M32" s="20" t="inlineStr">
        <is>
          <t>무상(KOICA)</t>
        </is>
      </c>
      <c r="N32" s="21" t="inlineStr">
        <is>
          <t>-</t>
        </is>
      </c>
    </row>
    <row r="33" ht="30" customHeight="1">
      <c r="A33" s="20" t="n">
        <v>29</v>
      </c>
      <c r="B33" s="21" t="inlineStr">
        <is>
          <t>C. 사료·급이 설비</t>
        </is>
      </c>
      <c r="C33" s="21" t="inlineStr">
        <is>
          <t>사료 배합기 및 공급 시스템</t>
        </is>
      </c>
      <c r="D33" s="21" t="inlineStr">
        <is>
          <t>베일 그랩·랩핑기(조사료 처리)</t>
        </is>
      </c>
      <c r="E33" s="21" t="inlineStr">
        <is>
          <t>트랙터 장착형</t>
        </is>
      </c>
      <c r="F33" s="21" t="inlineStr">
        <is>
          <t>-</t>
        </is>
      </c>
      <c r="G33" s="20" t="inlineStr">
        <is>
          <t>식</t>
        </is>
      </c>
      <c r="H33" s="22" t="n">
        <v>1</v>
      </c>
      <c r="I33" s="23" t="n">
        <v>35000000</v>
      </c>
      <c r="J33" s="24">
        <f>H33*I33</f>
        <v/>
      </c>
      <c r="K33" s="23">
        <f>ROUND(J33/'05.전제조건'!$C$5,0)</f>
        <v/>
      </c>
      <c r="L33" s="20" t="inlineStr">
        <is>
          <t>본안</t>
        </is>
      </c>
      <c r="M33" s="20" t="inlineStr">
        <is>
          <t>무상(KOICA)</t>
        </is>
      </c>
      <c r="N33" s="21" t="inlineStr">
        <is>
          <t>현지 알팔파·옥수수 사일리지 대응</t>
        </is>
      </c>
    </row>
    <row r="34" ht="30" customHeight="1">
      <c r="A34" s="20" t="n">
        <v>30</v>
      </c>
      <c r="B34" s="21" t="inlineStr">
        <is>
          <t>C. 사료·급이 설비</t>
        </is>
      </c>
      <c r="C34" s="21" t="inlineStr">
        <is>
          <t>사료 배합기 및 공급 시스템</t>
        </is>
      </c>
      <c r="D34" s="21" t="inlineStr">
        <is>
          <t>자동 급수조(보온형·수량계측)</t>
        </is>
      </c>
      <c r="E34" s="21" t="inlineStr">
        <is>
          <t>스테인리스, 결빙방지 히터</t>
        </is>
      </c>
      <c r="F34" s="21" t="inlineStr">
        <is>
          <t>-</t>
        </is>
      </c>
      <c r="G34" s="20" t="inlineStr">
        <is>
          <t>대</t>
        </is>
      </c>
      <c r="H34" s="22" t="n">
        <v>8</v>
      </c>
      <c r="I34" s="23" t="n">
        <v>2500000</v>
      </c>
      <c r="J34" s="24">
        <f>H34*I34</f>
        <v/>
      </c>
      <c r="K34" s="23">
        <f>ROUND(J34/'05.전제조건'!$C$5,0)</f>
        <v/>
      </c>
      <c r="L34" s="20" t="inlineStr">
        <is>
          <t>본안</t>
        </is>
      </c>
      <c r="M34" s="20" t="inlineStr">
        <is>
          <t>무상(KOICA)</t>
        </is>
      </c>
      <c r="N34" s="21" t="inlineStr">
        <is>
          <t>음수량 데이터 → CowTalk 질병조기감지 연동</t>
        </is>
      </c>
    </row>
    <row r="35" ht="30" customHeight="1">
      <c r="A35" s="20" t="n">
        <v>31</v>
      </c>
      <c r="B35" s="21" t="inlineStr">
        <is>
          <t>C. 사료·급이 설비</t>
        </is>
      </c>
      <c r="C35" s="21" t="inlineStr">
        <is>
          <t>사료 배합기 및 공급 시스템</t>
        </is>
      </c>
      <c r="D35" s="21" t="inlineStr">
        <is>
          <t>[옵션] 개체별 농후사료 자동급이기 8두용</t>
        </is>
      </c>
      <c r="E35" s="21" t="inlineStr">
        <is>
          <t>개체인식 연동 정밀급여</t>
        </is>
      </c>
      <c r="F35" s="21" t="inlineStr">
        <is>
          <t>-</t>
        </is>
      </c>
      <c r="G35" s="20" t="inlineStr">
        <is>
          <t>대</t>
        </is>
      </c>
      <c r="H35" s="22" t="n">
        <v>3</v>
      </c>
      <c r="I35" s="23" t="n">
        <v>18000000</v>
      </c>
      <c r="J35" s="24">
        <f>H35*I35</f>
        <v/>
      </c>
      <c r="K35" s="23">
        <f>ROUND(J35/'05.전제조건'!$C$5,0)</f>
        <v/>
      </c>
      <c r="L35" s="33" t="inlineStr">
        <is>
          <t>옵션</t>
        </is>
      </c>
      <c r="M35" s="20" t="inlineStr">
        <is>
          <t>무상(KOICA)</t>
        </is>
      </c>
      <c r="N35" s="21" t="inlineStr">
        <is>
          <t>고능력우 정밀급여 실증용</t>
        </is>
      </c>
    </row>
    <row r="36" ht="30" customHeight="1">
      <c r="A36" s="27" t="n">
        <v>32</v>
      </c>
      <c r="B36" s="28" t="inlineStr">
        <is>
          <t>D. 분뇨처리·농기계</t>
        </is>
      </c>
      <c r="C36" s="28" t="inlineStr">
        <is>
          <t>분뇨처리 시설 및 농기계(트랙터 및 로더 등)</t>
        </is>
      </c>
      <c r="D36" s="28" t="inlineStr">
        <is>
          <t>트랙터 대형 110마력 4WD</t>
        </is>
      </c>
      <c r="E36" s="28" t="inlineStr">
        <is>
          <t>캐빈형, 파워셔틀, 프론트로더 장착</t>
        </is>
      </c>
      <c r="F36" s="28" t="inlineStr">
        <is>
          <t>국산(대동·TYM) / 수입</t>
        </is>
      </c>
      <c r="G36" s="27" t="inlineStr">
        <is>
          <t>대</t>
        </is>
      </c>
      <c r="H36" s="29" t="n">
        <v>1</v>
      </c>
      <c r="I36" s="30" t="n">
        <v>110000000</v>
      </c>
      <c r="J36" s="31">
        <f>H36*I36</f>
        <v/>
      </c>
      <c r="K36" s="30">
        <f>ROUND(J36/'05.전제조건'!$C$5,0)</f>
        <v/>
      </c>
      <c r="L36" s="27" t="inlineStr">
        <is>
          <t>본안</t>
        </is>
      </c>
      <c r="M36" s="27" t="inlineStr">
        <is>
          <t>무상(KOICA)</t>
        </is>
      </c>
      <c r="N36" s="28" t="inlineStr">
        <is>
          <t>★ 원본 '트렉터 대형' 항목 확정. TMR 배합기 견인 겸용</t>
        </is>
      </c>
    </row>
    <row r="37" ht="30" customHeight="1">
      <c r="A37" s="27" t="n">
        <v>33</v>
      </c>
      <c r="B37" s="28" t="inlineStr">
        <is>
          <t>D. 분뇨처리·농기계</t>
        </is>
      </c>
      <c r="C37" s="28" t="inlineStr">
        <is>
          <t>분뇨처리 시설 및 농기계(트랙터 및 로더 등)</t>
        </is>
      </c>
      <c r="D37" s="28" t="inlineStr">
        <is>
          <t>트랙터 소형 55마력 4WD</t>
        </is>
      </c>
      <c r="E37" s="28" t="inlineStr">
        <is>
          <t>축사 내 작업·베딩 정리용</t>
        </is>
      </c>
      <c r="F37" s="28" t="inlineStr">
        <is>
          <t>-</t>
        </is>
      </c>
      <c r="G37" s="27" t="inlineStr">
        <is>
          <t>대</t>
        </is>
      </c>
      <c r="H37" s="29" t="n">
        <v>1</v>
      </c>
      <c r="I37" s="30" t="n">
        <v>55000000</v>
      </c>
      <c r="J37" s="31">
        <f>H37*I37</f>
        <v/>
      </c>
      <c r="K37" s="30">
        <f>ROUND(J37/'05.전제조건'!$C$5,0)</f>
        <v/>
      </c>
      <c r="L37" s="27" t="inlineStr">
        <is>
          <t>본안</t>
        </is>
      </c>
      <c r="M37" s="27" t="inlineStr">
        <is>
          <t>무상(KOICA)</t>
        </is>
      </c>
      <c r="N37" s="28" t="inlineStr">
        <is>
          <t>★ 원본 '트렉터 소형' 항목 확정</t>
        </is>
      </c>
    </row>
    <row r="38" ht="30" customHeight="1">
      <c r="A38" s="27" t="n">
        <v>34</v>
      </c>
      <c r="B38" s="28" t="inlineStr">
        <is>
          <t>D. 분뇨처리·농기계</t>
        </is>
      </c>
      <c r="C38" s="28" t="inlineStr">
        <is>
          <t>분뇨처리 시설 및 농기계(트랙터 및 로더 등)</t>
        </is>
      </c>
      <c r="D38" s="28" t="inlineStr">
        <is>
          <t>농기계 부속기(프론트로더·버킷·포크·퇴비살포)</t>
        </is>
      </c>
      <c r="E38" s="28" t="inlineStr">
        <is>
          <t>대형 트랙터 장착 어태치먼트 세트</t>
        </is>
      </c>
      <c r="F38" s="28" t="inlineStr">
        <is>
          <t>-</t>
        </is>
      </c>
      <c r="G38" s="27" t="inlineStr">
        <is>
          <t>식</t>
        </is>
      </c>
      <c r="H38" s="29" t="n">
        <v>1</v>
      </c>
      <c r="I38" s="30" t="n">
        <v>20000000</v>
      </c>
      <c r="J38" s="31">
        <f>H38*I38</f>
        <v/>
      </c>
      <c r="K38" s="30">
        <f>ROUND(J38/'05.전제조건'!$C$5,0)</f>
        <v/>
      </c>
      <c r="L38" s="27" t="inlineStr">
        <is>
          <t>본안</t>
        </is>
      </c>
      <c r="M38" s="27" t="inlineStr">
        <is>
          <t>무상(KOICA)</t>
        </is>
      </c>
      <c r="N38" s="28" t="inlineStr">
        <is>
          <t>★ 원본 '농기계부속기(로더)' 항목 확정</t>
        </is>
      </c>
    </row>
    <row r="39" ht="30" customHeight="1">
      <c r="A39" s="27" t="n">
        <v>35</v>
      </c>
      <c r="B39" s="28" t="inlineStr">
        <is>
          <t>D. 분뇨처리·농기계</t>
        </is>
      </c>
      <c r="C39" s="28" t="inlineStr">
        <is>
          <t>분뇨처리 시설 및 농기계(트랙터 및 로더 등)</t>
        </is>
      </c>
      <c r="D39" s="28" t="inlineStr">
        <is>
          <t>스키드로더 (분뇨처리 전용)</t>
        </is>
      </c>
      <c r="E39" s="28" t="inlineStr">
        <is>
          <t>정격하중 900kg급, 어태치먼트(버킷·그래플·브룸·베딩살포기)</t>
        </is>
      </c>
      <c r="F39" s="28" t="inlineStr">
        <is>
          <t>Bobcat S66 / 국산 동급</t>
        </is>
      </c>
      <c r="G39" s="27" t="inlineStr">
        <is>
          <t>대</t>
        </is>
      </c>
      <c r="H39" s="29" t="n">
        <v>1</v>
      </c>
      <c r="I39" s="30" t="n">
        <v>100000000</v>
      </c>
      <c r="J39" s="31">
        <f>H39*I39</f>
        <v/>
      </c>
      <c r="K39" s="30">
        <f>ROUND(J39/'05.전제조건'!$C$5,0)</f>
        <v/>
      </c>
      <c r="L39" s="27" t="inlineStr">
        <is>
          <t>본안</t>
        </is>
      </c>
      <c r="M39" s="27" t="inlineStr">
        <is>
          <t>무상(KOICA)</t>
        </is>
      </c>
      <c r="N39" s="28" t="inlineStr">
        <is>
          <t>★ 회장님 지시항목. 축사 내 협소공간 분뇨·베딩 작업 전담</t>
        </is>
      </c>
    </row>
    <row r="40" ht="30" customHeight="1">
      <c r="A40" s="27" t="n">
        <v>36</v>
      </c>
      <c r="B40" s="28" t="inlineStr">
        <is>
          <t>D. 분뇨처리·농기계</t>
        </is>
      </c>
      <c r="C40" s="28" t="inlineStr">
        <is>
          <t>분뇨처리 시설 및 농기계(트랙터 및 로더 등)</t>
        </is>
      </c>
      <c r="D40" s="28" t="inlineStr">
        <is>
          <t>지게차 2톤 (디젤)</t>
        </is>
      </c>
      <c r="E40" s="28" t="inlineStr">
        <is>
          <t>사료·퇴비 포장물 상하차</t>
        </is>
      </c>
      <c r="F40" s="28" t="inlineStr">
        <is>
          <t>-</t>
        </is>
      </c>
      <c r="G40" s="27" t="inlineStr">
        <is>
          <t>대</t>
        </is>
      </c>
      <c r="H40" s="29" t="n">
        <v>1</v>
      </c>
      <c r="I40" s="30" t="n">
        <v>42000000</v>
      </c>
      <c r="J40" s="31">
        <f>H40*I40</f>
        <v/>
      </c>
      <c r="K40" s="30">
        <f>ROUND(J40/'05.전제조건'!$C$5,0)</f>
        <v/>
      </c>
      <c r="L40" s="27" t="inlineStr">
        <is>
          <t>본안</t>
        </is>
      </c>
      <c r="M40" s="27" t="inlineStr">
        <is>
          <t>무상(KOICA)</t>
        </is>
      </c>
      <c r="N40" s="28" t="inlineStr">
        <is>
          <t>★ 원본 '지게차(2톤)' 항목 반영</t>
        </is>
      </c>
    </row>
    <row r="41" ht="30" customHeight="1">
      <c r="A41" s="27" t="n">
        <v>37</v>
      </c>
      <c r="B41" s="28" t="inlineStr">
        <is>
          <t>D. 분뇨처리·농기계</t>
        </is>
      </c>
      <c r="C41" s="28" t="inlineStr">
        <is>
          <t>분뇨 교반시설</t>
        </is>
      </c>
      <c r="D41" s="28" t="inlineStr">
        <is>
          <t>수직형 퇴비교반기 (밀폐 수직발효조)</t>
        </is>
      </c>
      <c r="E41" s="28" t="inlineStr">
        <is>
          <t>처리 10톤/일, 스크류 교반 + 강제송풍 + 탈취 일체형, 발효 7~10일</t>
        </is>
      </c>
      <c r="F41" s="28" t="inlineStr">
        <is>
          <t>수직 밀폐발효조 1식</t>
        </is>
      </c>
      <c r="G41" s="27" t="inlineStr">
        <is>
          <t>식</t>
        </is>
      </c>
      <c r="H41" s="29" t="n">
        <v>1</v>
      </c>
      <c r="I41" s="30" t="n">
        <v>280000000</v>
      </c>
      <c r="J41" s="31">
        <f>H41*I41</f>
        <v/>
      </c>
      <c r="K41" s="30">
        <f>ROUND(J41/'05.전제조건'!$C$5,0)</f>
        <v/>
      </c>
      <c r="L41" s="27" t="inlineStr">
        <is>
          <t>본안</t>
        </is>
      </c>
      <c r="M41" s="27" t="inlineStr">
        <is>
          <t>무상(KOICA)</t>
        </is>
      </c>
      <c r="N41" s="34" t="inlineStr">
        <is>
          <t>★★ 회장님 지시 핵심항목. 원본 '분뇨 교반시설' 확정. 180두 분뇨 약 8.1톤/일 대응. 혹한기에도 발효온도 유지 — 중앙아 필수사양</t>
        </is>
      </c>
    </row>
    <row r="42" ht="30" customHeight="1">
      <c r="A42" s="27" t="n">
        <v>38</v>
      </c>
      <c r="B42" s="28" t="inlineStr">
        <is>
          <t>D. 분뇨처리·농기계</t>
        </is>
      </c>
      <c r="C42" s="28" t="inlineStr">
        <is>
          <t>분뇨 교반시설</t>
        </is>
      </c>
      <c r="D42" s="28" t="inlineStr">
        <is>
          <t>퇴비사 주행식 교반기(스캇터) 폭 4m</t>
        </is>
      </c>
      <c r="E42" s="28" t="inlineStr">
        <is>
          <t>레일주행, 2차 숙성용</t>
        </is>
      </c>
      <c r="F42" s="28" t="inlineStr">
        <is>
          <t>-</t>
        </is>
      </c>
      <c r="G42" s="27" t="inlineStr">
        <is>
          <t>대</t>
        </is>
      </c>
      <c r="H42" s="29" t="n">
        <v>1</v>
      </c>
      <c r="I42" s="30" t="n">
        <v>120000000</v>
      </c>
      <c r="J42" s="31">
        <f>H42*I42</f>
        <v/>
      </c>
      <c r="K42" s="30">
        <f>ROUND(J42/'05.전제조건'!$C$5,0)</f>
        <v/>
      </c>
      <c r="L42" s="27" t="inlineStr">
        <is>
          <t>본안</t>
        </is>
      </c>
      <c r="M42" s="27" t="inlineStr">
        <is>
          <t>무상(KOICA)</t>
        </is>
      </c>
      <c r="N42" s="28" t="inlineStr">
        <is>
          <t>수직발효조 1차 발효 → 주행교반 2차 숙성 2단 구조</t>
        </is>
      </c>
    </row>
    <row r="43" ht="30" customHeight="1">
      <c r="A43" s="27" t="n">
        <v>39</v>
      </c>
      <c r="B43" s="28" t="inlineStr">
        <is>
          <t>D. 분뇨처리·농기계</t>
        </is>
      </c>
      <c r="C43" s="28" t="inlineStr">
        <is>
          <t>분뇨 교반시설</t>
        </is>
      </c>
      <c r="D43" s="28" t="inlineStr">
        <is>
          <t>고액분리기(스크류프레스) 15㎥/h</t>
        </is>
      </c>
      <c r="E43" s="28" t="inlineStr">
        <is>
          <t>함수율 85% → 65%</t>
        </is>
      </c>
      <c r="F43" s="28" t="inlineStr">
        <is>
          <t>-</t>
        </is>
      </c>
      <c r="G43" s="27" t="inlineStr">
        <is>
          <t>대</t>
        </is>
      </c>
      <c r="H43" s="29" t="n">
        <v>1</v>
      </c>
      <c r="I43" s="30" t="n">
        <v>45000000</v>
      </c>
      <c r="J43" s="31">
        <f>H43*I43</f>
        <v/>
      </c>
      <c r="K43" s="30">
        <f>ROUND(J43/'05.전제조건'!$C$5,0)</f>
        <v/>
      </c>
      <c r="L43" s="27" t="inlineStr">
        <is>
          <t>본안</t>
        </is>
      </c>
      <c r="M43" s="27" t="inlineStr">
        <is>
          <t>무상(KOICA)</t>
        </is>
      </c>
      <c r="N43" s="28" t="inlineStr">
        <is>
          <t>발효조 투입 전 수분조절</t>
        </is>
      </c>
    </row>
    <row r="44" ht="30" customHeight="1">
      <c r="A44" s="27" t="n">
        <v>40</v>
      </c>
      <c r="B44" s="28" t="inlineStr">
        <is>
          <t>D. 분뇨처리·농기계</t>
        </is>
      </c>
      <c r="C44" s="28" t="inlineStr">
        <is>
          <t>분뇨 교반시설</t>
        </is>
      </c>
      <c r="D44" s="28" t="inlineStr">
        <is>
          <t>슬러리 저류조 교반기·이송펌프</t>
        </is>
      </c>
      <c r="E44" s="28" t="inlineStr">
        <is>
          <t>저류조 200톤 대응</t>
        </is>
      </c>
      <c r="F44" s="28" t="inlineStr">
        <is>
          <t>-</t>
        </is>
      </c>
      <c r="G44" s="27" t="inlineStr">
        <is>
          <t>식</t>
        </is>
      </c>
      <c r="H44" s="29" t="n">
        <v>1</v>
      </c>
      <c r="I44" s="30" t="n">
        <v>55000000</v>
      </c>
      <c r="J44" s="31">
        <f>H44*I44</f>
        <v/>
      </c>
      <c r="K44" s="30">
        <f>ROUND(J44/'05.전제조건'!$C$5,0)</f>
        <v/>
      </c>
      <c r="L44" s="27" t="inlineStr">
        <is>
          <t>본안</t>
        </is>
      </c>
      <c r="M44" s="27" t="inlineStr">
        <is>
          <t>무상(KOICA)</t>
        </is>
      </c>
      <c r="N44" s="28" t="inlineStr">
        <is>
          <t>-</t>
        </is>
      </c>
    </row>
    <row r="45" ht="30" customHeight="1">
      <c r="A45" s="27" t="n">
        <v>41</v>
      </c>
      <c r="B45" s="28" t="inlineStr">
        <is>
          <t>D. 분뇨처리·농기계</t>
        </is>
      </c>
      <c r="C45" s="28" t="inlineStr">
        <is>
          <t>분뇨 교반시설</t>
        </is>
      </c>
      <c r="D45" s="28" t="inlineStr">
        <is>
          <t>자동 분뇨제거 스크래퍼 시스템</t>
        </is>
      </c>
      <c r="E45" s="28" t="inlineStr">
        <is>
          <t>우사 2열 자동 왕복, 타이머 제어</t>
        </is>
      </c>
      <c r="F45" s="28" t="inlineStr">
        <is>
          <t>-</t>
        </is>
      </c>
      <c r="G45" s="27" t="inlineStr">
        <is>
          <t>식</t>
        </is>
      </c>
      <c r="H45" s="29" t="n">
        <v>1</v>
      </c>
      <c r="I45" s="30" t="n">
        <v>120000000</v>
      </c>
      <c r="J45" s="31">
        <f>H45*I45</f>
        <v/>
      </c>
      <c r="K45" s="30">
        <f>ROUND(J45/'05.전제조건'!$C$5,0)</f>
        <v/>
      </c>
      <c r="L45" s="27" t="inlineStr">
        <is>
          <t>본안</t>
        </is>
      </c>
      <c r="M45" s="27" t="inlineStr">
        <is>
          <t>무상(KOICA)</t>
        </is>
      </c>
      <c r="N45" s="28" t="inlineStr">
        <is>
          <t>축사 위생·유방염 저감</t>
        </is>
      </c>
    </row>
    <row r="46" ht="30" customHeight="1">
      <c r="A46" s="27" t="n">
        <v>42</v>
      </c>
      <c r="B46" s="28" t="inlineStr">
        <is>
          <t>D. 분뇨처리·농기계</t>
        </is>
      </c>
      <c r="C46" s="28" t="inlineStr">
        <is>
          <t>분뇨 교반시설</t>
        </is>
      </c>
      <c r="D46" s="28" t="inlineStr">
        <is>
          <t>퇴비 선별기·정량 포장기(20kg)</t>
        </is>
      </c>
      <c r="E46" s="28" t="inlineStr">
        <is>
          <t>시간당 300포</t>
        </is>
      </c>
      <c r="F46" s="28" t="inlineStr">
        <is>
          <t>-</t>
        </is>
      </c>
      <c r="G46" s="27" t="inlineStr">
        <is>
          <t>식</t>
        </is>
      </c>
      <c r="H46" s="29" t="n">
        <v>1</v>
      </c>
      <c r="I46" s="30" t="n">
        <v>45000000</v>
      </c>
      <c r="J46" s="31">
        <f>H46*I46</f>
        <v/>
      </c>
      <c r="K46" s="30">
        <f>ROUND(J46/'05.전제조건'!$C$5,0)</f>
        <v/>
      </c>
      <c r="L46" s="27" t="inlineStr">
        <is>
          <t>본안</t>
        </is>
      </c>
      <c r="M46" s="27" t="inlineStr">
        <is>
          <t>민간(제네틱스·D2O)</t>
        </is>
      </c>
      <c r="N46" s="28" t="inlineStr">
        <is>
          <t>★ 퇴비 상품화 = 현지 운영수익원</t>
        </is>
      </c>
    </row>
    <row r="47" ht="30" customHeight="1">
      <c r="A47" s="27" t="n">
        <v>43</v>
      </c>
      <c r="B47" s="28" t="inlineStr">
        <is>
          <t>D. 분뇨처리·농기계</t>
        </is>
      </c>
      <c r="C47" s="28" t="inlineStr">
        <is>
          <t>분뇨 교반시설</t>
        </is>
      </c>
      <c r="D47" s="28" t="inlineStr">
        <is>
          <t>액비·퇴비 살포기(살포차)</t>
        </is>
      </c>
      <c r="E47" s="28" t="inlineStr">
        <is>
          <t>8㎥ 견인식</t>
        </is>
      </c>
      <c r="F47" s="28" t="inlineStr">
        <is>
          <t>-</t>
        </is>
      </c>
      <c r="G47" s="27" t="inlineStr">
        <is>
          <t>대</t>
        </is>
      </c>
      <c r="H47" s="29" t="n">
        <v>1</v>
      </c>
      <c r="I47" s="30" t="n">
        <v>60000000</v>
      </c>
      <c r="J47" s="31">
        <f>H47*I47</f>
        <v/>
      </c>
      <c r="K47" s="30">
        <f>ROUND(J47/'05.전제조건'!$C$5,0)</f>
        <v/>
      </c>
      <c r="L47" s="27" t="inlineStr">
        <is>
          <t>본안</t>
        </is>
      </c>
      <c r="M47" s="27" t="inlineStr">
        <is>
          <t>무상(KOICA)</t>
        </is>
      </c>
      <c r="N47" s="28" t="inlineStr">
        <is>
          <t>경종농가 연계 자원순환</t>
        </is>
      </c>
    </row>
    <row r="48" ht="30" customHeight="1">
      <c r="A48" s="27" t="n">
        <v>44</v>
      </c>
      <c r="B48" s="28" t="inlineStr">
        <is>
          <t>D. 분뇨처리·농기계</t>
        </is>
      </c>
      <c r="C48" s="28" t="inlineStr">
        <is>
          <t>분뇨 교반시설</t>
        </is>
      </c>
      <c r="D48" s="28" t="inlineStr">
        <is>
          <t>탈취설비(바이오필터) + D2O 환경기술 적용</t>
        </is>
      </c>
      <c r="E48" s="28" t="inlineStr">
        <is>
          <t>악취 저감 목표 — 파일럿 검증 전제</t>
        </is>
      </c>
      <c r="F48" s="28" t="inlineStr">
        <is>
          <t>D2O 기술 적용</t>
        </is>
      </c>
      <c r="G48" s="27" t="inlineStr">
        <is>
          <t>식</t>
        </is>
      </c>
      <c r="H48" s="29" t="n">
        <v>1</v>
      </c>
      <c r="I48" s="30" t="n">
        <v>80000000</v>
      </c>
      <c r="J48" s="31">
        <f>H48*I48</f>
        <v/>
      </c>
      <c r="K48" s="30">
        <f>ROUND(J48/'05.전제조건'!$C$5,0)</f>
        <v/>
      </c>
      <c r="L48" s="27" t="inlineStr">
        <is>
          <t>본안</t>
        </is>
      </c>
      <c r="M48" s="27" t="inlineStr">
        <is>
          <t>민간(제네틱스·D2O)</t>
        </is>
      </c>
      <c r="N48" s="28" t="inlineStr">
        <is>
          <t>★ D2O 고기능성 축산환경 액상제 병행 — 악취저감·퇴비화 촉진 기대(현장검증 계획 포함)</t>
        </is>
      </c>
    </row>
    <row r="49" ht="30" customHeight="1">
      <c r="A49" s="27" t="n">
        <v>45</v>
      </c>
      <c r="B49" s="28" t="inlineStr">
        <is>
          <t>D. 분뇨처리·농기계</t>
        </is>
      </c>
      <c r="C49" s="28" t="inlineStr">
        <is>
          <t>깔짚(베딩) 시스템</t>
        </is>
      </c>
      <c r="D49" s="28" t="inlineStr">
        <is>
          <t>D2O 베딩(피트모스 기반) 초기 투입분 + HBP 시스템 셋업</t>
        </is>
      </c>
      <c r="E49" s="28" t="inlineStr">
        <is>
          <t>축사 전면 도포 + 관리 SOP + 초기 6개월분</t>
        </is>
      </c>
      <c r="F49" s="28" t="inlineStr">
        <is>
          <t>D2O Bedding / HBP</t>
        </is>
      </c>
      <c r="G49" s="27" t="inlineStr">
        <is>
          <t>식</t>
        </is>
      </c>
      <c r="H49" s="29" t="n">
        <v>1</v>
      </c>
      <c r="I49" s="30" t="n">
        <v>70000000</v>
      </c>
      <c r="J49" s="31">
        <f>H49*I49</f>
        <v/>
      </c>
      <c r="K49" s="30">
        <f>ROUND(J49/'05.전제조건'!$C$5,0)</f>
        <v/>
      </c>
      <c r="L49" s="27" t="inlineStr">
        <is>
          <t>본안</t>
        </is>
      </c>
      <c r="M49" s="27" t="inlineStr">
        <is>
          <t>민간(제네틱스·D2O)</t>
        </is>
      </c>
      <c r="N49" s="34" t="inlineStr">
        <is>
          <t>★★ D2O 사업 연계 — 우즈벡 피트모스 시장 진입 교두보</t>
        </is>
      </c>
    </row>
    <row r="50" ht="30" customHeight="1">
      <c r="A50" s="27" t="n">
        <v>46</v>
      </c>
      <c r="B50" s="28" t="inlineStr">
        <is>
          <t>D. 분뇨처리·농기계</t>
        </is>
      </c>
      <c r="C50" s="28" t="inlineStr">
        <is>
          <t>분뇨 교반시설</t>
        </is>
      </c>
      <c r="D50" s="28" t="inlineStr">
        <is>
          <t>분뇨 운반용 덤프트레일러 6톤</t>
        </is>
      </c>
      <c r="E50" s="28" t="inlineStr">
        <is>
          <t>트랙터 견인식</t>
        </is>
      </c>
      <c r="F50" s="28" t="inlineStr">
        <is>
          <t>-</t>
        </is>
      </c>
      <c r="G50" s="27" t="inlineStr">
        <is>
          <t>대</t>
        </is>
      </c>
      <c r="H50" s="29" t="n">
        <v>1</v>
      </c>
      <c r="I50" s="30" t="n">
        <v>30000000</v>
      </c>
      <c r="J50" s="31">
        <f>H50*I50</f>
        <v/>
      </c>
      <c r="K50" s="30">
        <f>ROUND(J50/'05.전제조건'!$C$5,0)</f>
        <v/>
      </c>
      <c r="L50" s="27" t="inlineStr">
        <is>
          <t>본안</t>
        </is>
      </c>
      <c r="M50" s="27" t="inlineStr">
        <is>
          <t>무상(KOICA)</t>
        </is>
      </c>
      <c r="N50" s="28" t="inlineStr">
        <is>
          <t>-</t>
        </is>
      </c>
    </row>
    <row r="51" ht="30" customHeight="1">
      <c r="A51" s="20" t="n">
        <v>47</v>
      </c>
      <c r="B51" s="21" t="inlineStr">
        <is>
          <t>E. 유가공공장(5톤/일)</t>
        </is>
      </c>
      <c r="C51" s="21" t="inlineStr">
        <is>
          <t>원료유 수유·저장</t>
        </is>
      </c>
      <c r="D51" s="21" t="inlineStr">
        <is>
          <t>원유 수유(受乳)설비 (계량·탈기·여과)</t>
        </is>
      </c>
      <c r="E51" s="21" t="inlineStr">
        <is>
          <t>5,000 L/h, 전자유량계, 공기분리기</t>
        </is>
      </c>
      <c r="F51" s="21" t="inlineStr">
        <is>
          <t>-</t>
        </is>
      </c>
      <c r="G51" s="20" t="inlineStr">
        <is>
          <t>식</t>
        </is>
      </c>
      <c r="H51" s="22" t="n">
        <v>1</v>
      </c>
      <c r="I51" s="23" t="n">
        <v>50000000</v>
      </c>
      <c r="J51" s="24">
        <f>H51*I51</f>
        <v/>
      </c>
      <c r="K51" s="23">
        <f>ROUND(J51/'05.전제조건'!$C$5,0)</f>
        <v/>
      </c>
      <c r="L51" s="20" t="inlineStr">
        <is>
          <t>본안</t>
        </is>
      </c>
      <c r="M51" s="20" t="inlineStr">
        <is>
          <t>차관·현지부담</t>
        </is>
      </c>
      <c r="N51" s="25" t="inlineStr">
        <is>
          <t>★★ 원료유 조달구조: 자가 원유 2.5톤/일(착유우 100두) + 인근 농가 집유 2.5톤/일 = 5톤/일. 지역 집유센터 기능 겸함</t>
        </is>
      </c>
    </row>
    <row r="52" ht="30" customHeight="1">
      <c r="A52" s="20" t="n">
        <v>48</v>
      </c>
      <c r="B52" s="21" t="inlineStr">
        <is>
          <t>E. 유가공공장(5톤/일)</t>
        </is>
      </c>
      <c r="C52" s="21" t="inlineStr">
        <is>
          <t>원료유 수유·저장</t>
        </is>
      </c>
      <c r="D52" s="21" t="inlineStr">
        <is>
          <t>저유(사일로) 탱크 5,000L</t>
        </is>
      </c>
      <c r="E52" s="21" t="inlineStr">
        <is>
          <t>이중자켓 냉각, 교반, 온도기록</t>
        </is>
      </c>
      <c r="F52" s="21" t="inlineStr">
        <is>
          <t>-</t>
        </is>
      </c>
      <c r="G52" s="20" t="inlineStr">
        <is>
          <t>기</t>
        </is>
      </c>
      <c r="H52" s="22" t="n">
        <v>2</v>
      </c>
      <c r="I52" s="23" t="n">
        <v>45000000</v>
      </c>
      <c r="J52" s="24">
        <f>H52*I52</f>
        <v/>
      </c>
      <c r="K52" s="23">
        <f>ROUND(J52/'05.전제조건'!$C$5,0)</f>
        <v/>
      </c>
      <c r="L52" s="20" t="inlineStr">
        <is>
          <t>본안</t>
        </is>
      </c>
      <c r="M52" s="20" t="inlineStr">
        <is>
          <t>차관·현지부담</t>
        </is>
      </c>
      <c r="N52" s="21" t="inlineStr">
        <is>
          <t>자가 원유 5톤 + 확장 여유</t>
        </is>
      </c>
    </row>
    <row r="53" ht="30" customHeight="1">
      <c r="A53" s="20" t="n">
        <v>49</v>
      </c>
      <c r="B53" s="21" t="inlineStr">
        <is>
          <t>E. 유가공공장(5톤/일)</t>
        </is>
      </c>
      <c r="C53" s="21" t="inlineStr">
        <is>
          <t>전처리·살균</t>
        </is>
      </c>
      <c r="D53" s="21" t="inlineStr">
        <is>
          <t>원심 청정기 / 크림세퍼레이터</t>
        </is>
      </c>
      <c r="E53" s="21" t="inlineStr">
        <is>
          <t>5,000 L/h, 지방률 자동조정</t>
        </is>
      </c>
      <c r="F53" s="21" t="inlineStr">
        <is>
          <t>-</t>
        </is>
      </c>
      <c r="G53" s="20" t="inlineStr">
        <is>
          <t>대</t>
        </is>
      </c>
      <c r="H53" s="22" t="n">
        <v>1</v>
      </c>
      <c r="I53" s="23" t="n">
        <v>85000000</v>
      </c>
      <c r="J53" s="24">
        <f>H53*I53</f>
        <v/>
      </c>
      <c r="K53" s="23">
        <f>ROUND(J53/'05.전제조건'!$C$5,0)</f>
        <v/>
      </c>
      <c r="L53" s="20" t="inlineStr">
        <is>
          <t>본안</t>
        </is>
      </c>
      <c r="M53" s="20" t="inlineStr">
        <is>
          <t>차관·현지부담</t>
        </is>
      </c>
      <c r="N53" s="21" t="inlineStr">
        <is>
          <t>버터·카이막 원료 크림 분리</t>
        </is>
      </c>
    </row>
    <row r="54" ht="30" customHeight="1">
      <c r="A54" s="20" t="n">
        <v>50</v>
      </c>
      <c r="B54" s="21" t="inlineStr">
        <is>
          <t>E. 유가공공장(5톤/일)</t>
        </is>
      </c>
      <c r="C54" s="21" t="inlineStr">
        <is>
          <t>전처리·살균</t>
        </is>
      </c>
      <c r="D54" s="21" t="inlineStr">
        <is>
          <t>균질기(호모지나이저)</t>
        </is>
      </c>
      <c r="E54" s="21" t="inlineStr">
        <is>
          <t>5,000 L/h, 200 bar 2단</t>
        </is>
      </c>
      <c r="F54" s="21" t="inlineStr">
        <is>
          <t>-</t>
        </is>
      </c>
      <c r="G54" s="20" t="inlineStr">
        <is>
          <t>대</t>
        </is>
      </c>
      <c r="H54" s="22" t="n">
        <v>1</v>
      </c>
      <c r="I54" s="23" t="n">
        <v>150000000</v>
      </c>
      <c r="J54" s="24">
        <f>H54*I54</f>
        <v/>
      </c>
      <c r="K54" s="23">
        <f>ROUND(J54/'05.전제조건'!$C$5,0)</f>
        <v/>
      </c>
      <c r="L54" s="20" t="inlineStr">
        <is>
          <t>본안</t>
        </is>
      </c>
      <c r="M54" s="20" t="inlineStr">
        <is>
          <t>차관·현지부담</t>
        </is>
      </c>
      <c r="N54" s="21" t="inlineStr">
        <is>
          <t>-</t>
        </is>
      </c>
    </row>
    <row r="55" ht="30" customHeight="1">
      <c r="A55" s="20" t="n">
        <v>51</v>
      </c>
      <c r="B55" s="21" t="inlineStr">
        <is>
          <t>E. 유가공공장(5톤/일)</t>
        </is>
      </c>
      <c r="C55" s="21" t="inlineStr">
        <is>
          <t>전처리·살균</t>
        </is>
      </c>
      <c r="D55" s="21" t="inlineStr">
        <is>
          <t>판형 살균기 (HTST)</t>
        </is>
      </c>
      <c r="E55" s="21" t="inlineStr">
        <is>
          <t>5,000 L/h, 72~75℃/15초, 열회수 90%, 자동제어·기록</t>
        </is>
      </c>
      <c r="F55" s="21" t="inlineStr">
        <is>
          <t>-</t>
        </is>
      </c>
      <c r="G55" s="20" t="inlineStr">
        <is>
          <t>식</t>
        </is>
      </c>
      <c r="H55" s="22" t="n">
        <v>1</v>
      </c>
      <c r="I55" s="23" t="n">
        <v>250000000</v>
      </c>
      <c r="J55" s="24">
        <f>H55*I55</f>
        <v/>
      </c>
      <c r="K55" s="23">
        <f>ROUND(J55/'05.전제조건'!$C$5,0)</f>
        <v/>
      </c>
      <c r="L55" s="20" t="inlineStr">
        <is>
          <t>본안</t>
        </is>
      </c>
      <c r="M55" s="20" t="inlineStr">
        <is>
          <t>차관·현지부담</t>
        </is>
      </c>
      <c r="N55" s="21" t="inlineStr">
        <is>
          <t>★ 본 라인의 심장부</t>
        </is>
      </c>
    </row>
    <row r="56" ht="30" customHeight="1">
      <c r="A56" s="20" t="n">
        <v>52</v>
      </c>
      <c r="B56" s="21" t="inlineStr">
        <is>
          <t>E. 유가공공장(5톤/일)</t>
        </is>
      </c>
      <c r="C56" s="21" t="inlineStr">
        <is>
          <t>전처리·살균</t>
        </is>
      </c>
      <c r="D56" s="21" t="inlineStr">
        <is>
          <t>[옵션] UHT/ESL 살균라인 + 무균충전</t>
        </is>
      </c>
      <c r="E56" s="21" t="inlineStr">
        <is>
          <t>1,000 L/h, 상온유통 제품군 대응</t>
        </is>
      </c>
      <c r="F56" s="21" t="inlineStr">
        <is>
          <t>-</t>
        </is>
      </c>
      <c r="G56" s="20" t="inlineStr">
        <is>
          <t>식</t>
        </is>
      </c>
      <c r="H56" s="22" t="n">
        <v>1</v>
      </c>
      <c r="I56" s="23" t="n">
        <v>450000000</v>
      </c>
      <c r="J56" s="24">
        <f>H56*I56</f>
        <v/>
      </c>
      <c r="K56" s="23">
        <f>ROUND(J56/'05.전제조건'!$C$5,0)</f>
        <v/>
      </c>
      <c r="L56" s="33" t="inlineStr">
        <is>
          <t>옵션</t>
        </is>
      </c>
      <c r="M56" s="20" t="inlineStr">
        <is>
          <t>차관·현지부담</t>
        </is>
      </c>
      <c r="N56" s="21" t="inlineStr">
        <is>
          <t>우즈벡 콜드체인 취약지역 유통 확대 시 2단계 도입 권장</t>
        </is>
      </c>
    </row>
    <row r="57" ht="30" customHeight="1">
      <c r="A57" s="20" t="n">
        <v>53</v>
      </c>
      <c r="B57" s="21" t="inlineStr">
        <is>
          <t>E. 유가공공장(5톤/일)</t>
        </is>
      </c>
      <c r="C57" s="21" t="inlineStr">
        <is>
          <t>발효유·요거트</t>
        </is>
      </c>
      <c r="D57" s="21" t="inlineStr">
        <is>
          <t>발효탱크(요거트·발효유) 1,000L</t>
        </is>
      </c>
      <c r="E57" s="21" t="inlineStr">
        <is>
          <t>자켓 가온·냉각, 저속 교반, 자동 발효제어</t>
        </is>
      </c>
      <c r="F57" s="21" t="inlineStr">
        <is>
          <t>-</t>
        </is>
      </c>
      <c r="G57" s="20" t="inlineStr">
        <is>
          <t>기</t>
        </is>
      </c>
      <c r="H57" s="22" t="n">
        <v>3</v>
      </c>
      <c r="I57" s="23" t="n">
        <v>42000000</v>
      </c>
      <c r="J57" s="24">
        <f>H57*I57</f>
        <v/>
      </c>
      <c r="K57" s="23">
        <f>ROUND(J57/'05.전제조건'!$C$5,0)</f>
        <v/>
      </c>
      <c r="L57" s="20" t="inlineStr">
        <is>
          <t>본안</t>
        </is>
      </c>
      <c r="M57" s="20" t="inlineStr">
        <is>
          <t>차관·현지부담</t>
        </is>
      </c>
      <c r="N57" s="21" t="inlineStr">
        <is>
          <t>1일 3,000L 발효 능력</t>
        </is>
      </c>
    </row>
    <row r="58" ht="30" customHeight="1">
      <c r="A58" s="20" t="n">
        <v>54</v>
      </c>
      <c r="B58" s="21" t="inlineStr">
        <is>
          <t>E. 유가공공장(5톤/일)</t>
        </is>
      </c>
      <c r="C58" s="21" t="inlineStr">
        <is>
          <t>발효유·요거트</t>
        </is>
      </c>
      <c r="D58" s="21" t="inlineStr">
        <is>
          <t>그릭요거트 원심 스트레이너(유청 분리)</t>
        </is>
      </c>
      <c r="E58" s="21" t="inlineStr">
        <is>
          <t>1,000 L/h</t>
        </is>
      </c>
      <c r="F58" s="21" t="inlineStr">
        <is>
          <t>-</t>
        </is>
      </c>
      <c r="G58" s="20" t="inlineStr">
        <is>
          <t>대</t>
        </is>
      </c>
      <c r="H58" s="22" t="n">
        <v>1</v>
      </c>
      <c r="I58" s="23" t="n">
        <v>90000000</v>
      </c>
      <c r="J58" s="24">
        <f>H58*I58</f>
        <v/>
      </c>
      <c r="K58" s="23">
        <f>ROUND(J58/'05.전제조건'!$C$5,0)</f>
        <v/>
      </c>
      <c r="L58" s="20" t="inlineStr">
        <is>
          <t>본안</t>
        </is>
      </c>
      <c r="M58" s="20" t="inlineStr">
        <is>
          <t>차관·현지부담</t>
        </is>
      </c>
      <c r="N58" s="21" t="inlineStr">
        <is>
          <t>★ 송영신목장 그릭요거트 기술 현지 이식</t>
        </is>
      </c>
    </row>
    <row r="59" ht="30" customHeight="1">
      <c r="A59" s="20" t="n">
        <v>55</v>
      </c>
      <c r="B59" s="21" t="inlineStr">
        <is>
          <t>E. 유가공공장(5톤/일)</t>
        </is>
      </c>
      <c r="C59" s="21" t="inlineStr">
        <is>
          <t>치즈</t>
        </is>
      </c>
      <c r="D59" s="21" t="inlineStr">
        <is>
          <t>치즈 배트 500L + 커드 나이프·교반</t>
        </is>
      </c>
      <c r="E59" s="21" t="inlineStr">
        <is>
          <t>이중자켓, 자동 커팅</t>
        </is>
      </c>
      <c r="F59" s="21" t="inlineStr">
        <is>
          <t>-</t>
        </is>
      </c>
      <c r="G59" s="20" t="inlineStr">
        <is>
          <t>기</t>
        </is>
      </c>
      <c r="H59" s="22" t="n">
        <v>2</v>
      </c>
      <c r="I59" s="23" t="n">
        <v>60000000</v>
      </c>
      <c r="J59" s="24">
        <f>H59*I59</f>
        <v/>
      </c>
      <c r="K59" s="23">
        <f>ROUND(J59/'05.전제조건'!$C$5,0)</f>
        <v/>
      </c>
      <c r="L59" s="20" t="inlineStr">
        <is>
          <t>본안</t>
        </is>
      </c>
      <c r="M59" s="20" t="inlineStr">
        <is>
          <t>차관·현지부담</t>
        </is>
      </c>
      <c r="N59" s="21" t="inlineStr">
        <is>
          <t>현지 수요 높은 수리·브린자 치즈 대응</t>
        </is>
      </c>
    </row>
    <row r="60" ht="30" customHeight="1">
      <c r="A60" s="20" t="n">
        <v>56</v>
      </c>
      <c r="B60" s="21" t="inlineStr">
        <is>
          <t>E. 유가공공장(5톤/일)</t>
        </is>
      </c>
      <c r="C60" s="21" t="inlineStr">
        <is>
          <t>치즈</t>
        </is>
      </c>
      <c r="D60" s="21" t="inlineStr">
        <is>
          <t>치즈 압착기·몰드·염수(브라인)탱크</t>
        </is>
      </c>
      <c r="E60" s="21" t="inlineStr">
        <is>
          <t>-</t>
        </is>
      </c>
      <c r="F60" s="21" t="inlineStr">
        <is>
          <t>-</t>
        </is>
      </c>
      <c r="G60" s="20" t="inlineStr">
        <is>
          <t>식</t>
        </is>
      </c>
      <c r="H60" s="22" t="n">
        <v>1</v>
      </c>
      <c r="I60" s="23" t="n">
        <v>55000000</v>
      </c>
      <c r="J60" s="24">
        <f>H60*I60</f>
        <v/>
      </c>
      <c r="K60" s="23">
        <f>ROUND(J60/'05.전제조건'!$C$5,0)</f>
        <v/>
      </c>
      <c r="L60" s="20" t="inlineStr">
        <is>
          <t>본안</t>
        </is>
      </c>
      <c r="M60" s="20" t="inlineStr">
        <is>
          <t>차관·현지부담</t>
        </is>
      </c>
      <c r="N60" s="21" t="inlineStr">
        <is>
          <t>-</t>
        </is>
      </c>
    </row>
    <row r="61" ht="30" customHeight="1">
      <c r="A61" s="20" t="n">
        <v>57</v>
      </c>
      <c r="B61" s="21" t="inlineStr">
        <is>
          <t>E. 유가공공장(5톤/일)</t>
        </is>
      </c>
      <c r="C61" s="21" t="inlineStr">
        <is>
          <t>치즈</t>
        </is>
      </c>
      <c r="D61" s="21" t="inlineStr">
        <is>
          <t>치즈 숙성실(항온항습 30㎥)</t>
        </is>
      </c>
      <c r="E61" s="21" t="inlineStr">
        <is>
          <t>10~14℃ / RH 85%</t>
        </is>
      </c>
      <c r="F61" s="21" t="inlineStr">
        <is>
          <t>-</t>
        </is>
      </c>
      <c r="G61" s="20" t="inlineStr">
        <is>
          <t>식</t>
        </is>
      </c>
      <c r="H61" s="22" t="n">
        <v>1</v>
      </c>
      <c r="I61" s="23" t="n">
        <v>60000000</v>
      </c>
      <c r="J61" s="24">
        <f>H61*I61</f>
        <v/>
      </c>
      <c r="K61" s="23">
        <f>ROUND(J61/'05.전제조건'!$C$5,0)</f>
        <v/>
      </c>
      <c r="L61" s="20" t="inlineStr">
        <is>
          <t>본안</t>
        </is>
      </c>
      <c r="M61" s="20" t="inlineStr">
        <is>
          <t>차관·현지부담</t>
        </is>
      </c>
      <c r="N61" s="21" t="inlineStr">
        <is>
          <t>-</t>
        </is>
      </c>
    </row>
    <row r="62" ht="30" customHeight="1">
      <c r="A62" s="20" t="n">
        <v>58</v>
      </c>
      <c r="B62" s="21" t="inlineStr">
        <is>
          <t>E. 유가공공장(5톤/일)</t>
        </is>
      </c>
      <c r="C62" s="21" t="inlineStr">
        <is>
          <t>버터·크림</t>
        </is>
      </c>
      <c r="D62" s="21" t="inlineStr">
        <is>
          <t>버터 처닝기 200L</t>
        </is>
      </c>
      <c r="E62" s="21" t="inlineStr">
        <is>
          <t>배치식, 자동 워싱</t>
        </is>
      </c>
      <c r="F62" s="21" t="inlineStr">
        <is>
          <t>-</t>
        </is>
      </c>
      <c r="G62" s="20" t="inlineStr">
        <is>
          <t>대</t>
        </is>
      </c>
      <c r="H62" s="22" t="n">
        <v>1</v>
      </c>
      <c r="I62" s="23" t="n">
        <v>60000000</v>
      </c>
      <c r="J62" s="24">
        <f>H62*I62</f>
        <v/>
      </c>
      <c r="K62" s="23">
        <f>ROUND(J62/'05.전제조건'!$C$5,0)</f>
        <v/>
      </c>
      <c r="L62" s="20" t="inlineStr">
        <is>
          <t>본안</t>
        </is>
      </c>
      <c r="M62" s="20" t="inlineStr">
        <is>
          <t>차관·현지부담</t>
        </is>
      </c>
      <c r="N62" s="21" t="inlineStr">
        <is>
          <t>-</t>
        </is>
      </c>
    </row>
    <row r="63" ht="30" customHeight="1">
      <c r="A63" s="20" t="n">
        <v>59</v>
      </c>
      <c r="B63" s="21" t="inlineStr">
        <is>
          <t>E. 유가공공장(5톤/일)</t>
        </is>
      </c>
      <c r="C63" s="21" t="inlineStr">
        <is>
          <t>버터·크림</t>
        </is>
      </c>
      <c r="D63" s="21" t="inlineStr">
        <is>
          <t>카이막(Kaymak) 가공설비 (전용 팬·냉각)</t>
        </is>
      </c>
      <c r="E63" s="21" t="inlineStr">
        <is>
          <t>중앙아 전통 프리미엄 유제품</t>
        </is>
      </c>
      <c r="F63" s="21" t="inlineStr">
        <is>
          <t>-</t>
        </is>
      </c>
      <c r="G63" s="20" t="inlineStr">
        <is>
          <t>식</t>
        </is>
      </c>
      <c r="H63" s="22" t="n">
        <v>1</v>
      </c>
      <c r="I63" s="23" t="n">
        <v>45000000</v>
      </c>
      <c r="J63" s="24">
        <f>H63*I63</f>
        <v/>
      </c>
      <c r="K63" s="23">
        <f>ROUND(J63/'05.전제조건'!$C$5,0)</f>
        <v/>
      </c>
      <c r="L63" s="20" t="inlineStr">
        <is>
          <t>본안</t>
        </is>
      </c>
      <c r="M63" s="20" t="inlineStr">
        <is>
          <t>차관·현지부담</t>
        </is>
      </c>
      <c r="N63" s="25" t="inlineStr">
        <is>
          <t>★★ 우즈벡 현지 최고가 유제품 — 수익성 핵심. 송영신 카이막 기술 이식</t>
        </is>
      </c>
    </row>
    <row r="64" ht="30" customHeight="1">
      <c r="A64" s="20" t="n">
        <v>60</v>
      </c>
      <c r="B64" s="21" t="inlineStr">
        <is>
          <t>E. 유가공공장(5톤/일)</t>
        </is>
      </c>
      <c r="C64" s="21" t="inlineStr">
        <is>
          <t>아이스크림</t>
        </is>
      </c>
      <c r="D64" s="21" t="inlineStr">
        <is>
          <t>연속식 아이스크림 프리저 200L/h + 경화터널</t>
        </is>
      </c>
      <c r="E64" s="21" t="inlineStr">
        <is>
          <t>오버런 자동제어</t>
        </is>
      </c>
      <c r="F64" s="21" t="inlineStr">
        <is>
          <t>-</t>
        </is>
      </c>
      <c r="G64" s="20" t="inlineStr">
        <is>
          <t>식</t>
        </is>
      </c>
      <c r="H64" s="22" t="n">
        <v>1</v>
      </c>
      <c r="I64" s="23" t="n">
        <v>150000000</v>
      </c>
      <c r="J64" s="24">
        <f>H64*I64</f>
        <v/>
      </c>
      <c r="K64" s="23">
        <f>ROUND(J64/'05.전제조건'!$C$5,0)</f>
        <v/>
      </c>
      <c r="L64" s="20" t="inlineStr">
        <is>
          <t>본안</t>
        </is>
      </c>
      <c r="M64" s="20" t="inlineStr">
        <is>
          <t>차관·현지부담</t>
        </is>
      </c>
      <c r="N64" s="21" t="inlineStr">
        <is>
          <t>혹서기 최대 수익 품목</t>
        </is>
      </c>
    </row>
    <row r="65" ht="30" customHeight="1">
      <c r="A65" s="20" t="n">
        <v>61</v>
      </c>
      <c r="B65" s="21" t="inlineStr">
        <is>
          <t>E. 유가공공장(5톤/일)</t>
        </is>
      </c>
      <c r="C65" s="21" t="inlineStr">
        <is>
          <t>충전·포장</t>
        </is>
      </c>
      <c r="D65" s="21" t="inlineStr">
        <is>
          <t>병(PET/HDPE) 충전·캡핑기</t>
        </is>
      </c>
      <c r="E65" s="21" t="inlineStr">
        <is>
          <t>2,000 병/h, 500ml·1L 겸용</t>
        </is>
      </c>
      <c r="F65" s="21" t="inlineStr">
        <is>
          <t>-</t>
        </is>
      </c>
      <c r="G65" s="20" t="inlineStr">
        <is>
          <t>대</t>
        </is>
      </c>
      <c r="H65" s="22" t="n">
        <v>1</v>
      </c>
      <c r="I65" s="23" t="n">
        <v>250000000</v>
      </c>
      <c r="J65" s="24">
        <f>H65*I65</f>
        <v/>
      </c>
      <c r="K65" s="23">
        <f>ROUND(J65/'05.전제조건'!$C$5,0)</f>
        <v/>
      </c>
      <c r="L65" s="20" t="inlineStr">
        <is>
          <t>본안</t>
        </is>
      </c>
      <c r="M65" s="20" t="inlineStr">
        <is>
          <t>차관·현지부담</t>
        </is>
      </c>
      <c r="N65" s="21" t="inlineStr">
        <is>
          <t>-</t>
        </is>
      </c>
    </row>
    <row r="66" ht="30" customHeight="1">
      <c r="A66" s="20" t="n">
        <v>62</v>
      </c>
      <c r="B66" s="21" t="inlineStr">
        <is>
          <t>E. 유가공공장(5톤/일)</t>
        </is>
      </c>
      <c r="C66" s="21" t="inlineStr">
        <is>
          <t>충전·포장</t>
        </is>
      </c>
      <c r="D66" s="21" t="inlineStr">
        <is>
          <t>요거트 컵 충전·실링기</t>
        </is>
      </c>
      <c r="E66" s="21" t="inlineStr">
        <is>
          <t>3,000 컵/h</t>
        </is>
      </c>
      <c r="F66" s="21" t="inlineStr">
        <is>
          <t>-</t>
        </is>
      </c>
      <c r="G66" s="20" t="inlineStr">
        <is>
          <t>대</t>
        </is>
      </c>
      <c r="H66" s="22" t="n">
        <v>1</v>
      </c>
      <c r="I66" s="23" t="n">
        <v>120000000</v>
      </c>
      <c r="J66" s="24">
        <f>H66*I66</f>
        <v/>
      </c>
      <c r="K66" s="23">
        <f>ROUND(J66/'05.전제조건'!$C$5,0)</f>
        <v/>
      </c>
      <c r="L66" s="20" t="inlineStr">
        <is>
          <t>본안</t>
        </is>
      </c>
      <c r="M66" s="20" t="inlineStr">
        <is>
          <t>차관·현지부담</t>
        </is>
      </c>
      <c r="N66" s="21" t="inlineStr">
        <is>
          <t>-</t>
        </is>
      </c>
    </row>
    <row r="67" ht="30" customHeight="1">
      <c r="A67" s="20" t="n">
        <v>63</v>
      </c>
      <c r="B67" s="21" t="inlineStr">
        <is>
          <t>E. 유가공공장(5톤/일)</t>
        </is>
      </c>
      <c r="C67" s="21" t="inlineStr">
        <is>
          <t>충전·포장</t>
        </is>
      </c>
      <c r="D67" s="21" t="inlineStr">
        <is>
          <t>파우치/필름 포장기</t>
        </is>
      </c>
      <c r="E67" s="21" t="inlineStr">
        <is>
          <t>우유·발효유 파우치</t>
        </is>
      </c>
      <c r="F67" s="21" t="inlineStr">
        <is>
          <t>-</t>
        </is>
      </c>
      <c r="G67" s="20" t="inlineStr">
        <is>
          <t>대</t>
        </is>
      </c>
      <c r="H67" s="22" t="n">
        <v>1</v>
      </c>
      <c r="I67" s="23" t="n">
        <v>60000000</v>
      </c>
      <c r="J67" s="24">
        <f>H67*I67</f>
        <v/>
      </c>
      <c r="K67" s="23">
        <f>ROUND(J67/'05.전제조건'!$C$5,0)</f>
        <v/>
      </c>
      <c r="L67" s="20" t="inlineStr">
        <is>
          <t>본안</t>
        </is>
      </c>
      <c r="M67" s="20" t="inlineStr">
        <is>
          <t>차관·현지부담</t>
        </is>
      </c>
      <c r="N67" s="21" t="inlineStr">
        <is>
          <t>현지 저가 유통 채널 대응</t>
        </is>
      </c>
    </row>
    <row r="68" ht="30" customHeight="1">
      <c r="A68" s="20" t="n">
        <v>64</v>
      </c>
      <c r="B68" s="21" t="inlineStr">
        <is>
          <t>E. 유가공공장(5톤/일)</t>
        </is>
      </c>
      <c r="C68" s="21" t="inlineStr">
        <is>
          <t>충전·포장</t>
        </is>
      </c>
      <c r="D68" s="21" t="inlineStr">
        <is>
          <t>[옵션] 게이블탑(카톤) 충전기</t>
        </is>
      </c>
      <c r="E68" s="21" t="inlineStr">
        <is>
          <t>1,500 팩/h</t>
        </is>
      </c>
      <c r="F68" s="21" t="inlineStr">
        <is>
          <t>-</t>
        </is>
      </c>
      <c r="G68" s="20" t="inlineStr">
        <is>
          <t>대</t>
        </is>
      </c>
      <c r="H68" s="22" t="n">
        <v>1</v>
      </c>
      <c r="I68" s="23" t="n">
        <v>300000000</v>
      </c>
      <c r="J68" s="24">
        <f>H68*I68</f>
        <v/>
      </c>
      <c r="K68" s="23">
        <f>ROUND(J68/'05.전제조건'!$C$5,0)</f>
        <v/>
      </c>
      <c r="L68" s="33" t="inlineStr">
        <is>
          <t>옵션</t>
        </is>
      </c>
      <c r="M68" s="20" t="inlineStr">
        <is>
          <t>차관·현지부담</t>
        </is>
      </c>
      <c r="N68" s="21" t="inlineStr">
        <is>
          <t>프리미엄 브랜드 라인 확대 시</t>
        </is>
      </c>
    </row>
    <row r="69" ht="30" customHeight="1">
      <c r="A69" s="20" t="n">
        <v>65</v>
      </c>
      <c r="B69" s="21" t="inlineStr">
        <is>
          <t>E. 유가공공장(5톤/일)</t>
        </is>
      </c>
      <c r="C69" s="21" t="inlineStr">
        <is>
          <t>충전·포장</t>
        </is>
      </c>
      <c r="D69" s="21" t="inlineStr">
        <is>
          <t>라벨러·잉크젯 코더(유통기한)·박스 포장기</t>
        </is>
      </c>
      <c r="E69" s="21" t="inlineStr">
        <is>
          <t>-</t>
        </is>
      </c>
      <c r="F69" s="21" t="inlineStr">
        <is>
          <t>-</t>
        </is>
      </c>
      <c r="G69" s="20" t="inlineStr">
        <is>
          <t>식</t>
        </is>
      </c>
      <c r="H69" s="22" t="n">
        <v>1</v>
      </c>
      <c r="I69" s="23" t="n">
        <v>70000000</v>
      </c>
      <c r="J69" s="24">
        <f>H69*I69</f>
        <v/>
      </c>
      <c r="K69" s="23">
        <f>ROUND(J69/'05.전제조건'!$C$5,0)</f>
        <v/>
      </c>
      <c r="L69" s="20" t="inlineStr">
        <is>
          <t>본안</t>
        </is>
      </c>
      <c r="M69" s="20" t="inlineStr">
        <is>
          <t>차관·현지부담</t>
        </is>
      </c>
      <c r="N69" s="21" t="inlineStr">
        <is>
          <t>-</t>
        </is>
      </c>
    </row>
    <row r="70" ht="30" customHeight="1">
      <c r="A70" s="20" t="n">
        <v>66</v>
      </c>
      <c r="B70" s="21" t="inlineStr">
        <is>
          <t>E. 유가공공장(5톤/일)</t>
        </is>
      </c>
      <c r="C70" s="21" t="inlineStr">
        <is>
          <t>유틸리티</t>
        </is>
      </c>
      <c r="D70" s="21" t="inlineStr">
        <is>
          <t>CIP 자동세척 시스템 (3탱크)</t>
        </is>
      </c>
      <c r="E70" s="21" t="inlineStr">
        <is>
          <t>산·알칼리·온수, 자동 기록</t>
        </is>
      </c>
      <c r="F70" s="21" t="inlineStr">
        <is>
          <t>-</t>
        </is>
      </c>
      <c r="G70" s="20" t="inlineStr">
        <is>
          <t>식</t>
        </is>
      </c>
      <c r="H70" s="22" t="n">
        <v>1</v>
      </c>
      <c r="I70" s="23" t="n">
        <v>120000000</v>
      </c>
      <c r="J70" s="24">
        <f>H70*I70</f>
        <v/>
      </c>
      <c r="K70" s="23">
        <f>ROUND(J70/'05.전제조건'!$C$5,0)</f>
        <v/>
      </c>
      <c r="L70" s="20" t="inlineStr">
        <is>
          <t>본안</t>
        </is>
      </c>
      <c r="M70" s="20" t="inlineStr">
        <is>
          <t>차관·현지부담</t>
        </is>
      </c>
      <c r="N70" s="21" t="inlineStr">
        <is>
          <t>HACCP 필수</t>
        </is>
      </c>
    </row>
    <row r="71" ht="30" customHeight="1">
      <c r="A71" s="20" t="n">
        <v>67</v>
      </c>
      <c r="B71" s="21" t="inlineStr">
        <is>
          <t>E. 유가공공장(5톤/일)</t>
        </is>
      </c>
      <c r="C71" s="21" t="inlineStr">
        <is>
          <t>유틸리티</t>
        </is>
      </c>
      <c r="D71" s="21" t="inlineStr">
        <is>
          <t>스팀보일러 1톤/h + 증기배관</t>
        </is>
      </c>
      <c r="E71" s="21" t="inlineStr">
        <is>
          <t>-</t>
        </is>
      </c>
      <c r="F71" s="21" t="inlineStr">
        <is>
          <t>-</t>
        </is>
      </c>
      <c r="G71" s="20" t="inlineStr">
        <is>
          <t>식</t>
        </is>
      </c>
      <c r="H71" s="22" t="n">
        <v>1</v>
      </c>
      <c r="I71" s="23" t="n">
        <v>120000000</v>
      </c>
      <c r="J71" s="24">
        <f>H71*I71</f>
        <v/>
      </c>
      <c r="K71" s="23">
        <f>ROUND(J71/'05.전제조건'!$C$5,0)</f>
        <v/>
      </c>
      <c r="L71" s="20" t="inlineStr">
        <is>
          <t>본안</t>
        </is>
      </c>
      <c r="M71" s="20" t="inlineStr">
        <is>
          <t>차관·현지부담</t>
        </is>
      </c>
      <c r="N71" s="21" t="inlineStr">
        <is>
          <t>-</t>
        </is>
      </c>
    </row>
    <row r="72" ht="30" customHeight="1">
      <c r="A72" s="20" t="n">
        <v>68</v>
      </c>
      <c r="B72" s="21" t="inlineStr">
        <is>
          <t>E. 유가공공장(5톤/일)</t>
        </is>
      </c>
      <c r="C72" s="21" t="inlineStr">
        <is>
          <t>유틸리티</t>
        </is>
      </c>
      <c r="D72" s="21" t="inlineStr">
        <is>
          <t>냉동기(칠러) 100RT + 냉수탱크</t>
        </is>
      </c>
      <c r="E72" s="21" t="inlineStr">
        <is>
          <t>-</t>
        </is>
      </c>
      <c r="F72" s="21" t="inlineStr">
        <is>
          <t>-</t>
        </is>
      </c>
      <c r="G72" s="20" t="inlineStr">
        <is>
          <t>식</t>
        </is>
      </c>
      <c r="H72" s="22" t="n">
        <v>1</v>
      </c>
      <c r="I72" s="23" t="n">
        <v>130000000</v>
      </c>
      <c r="J72" s="24">
        <f>H72*I72</f>
        <v/>
      </c>
      <c r="K72" s="23">
        <f>ROUND(J72/'05.전제조건'!$C$5,0)</f>
        <v/>
      </c>
      <c r="L72" s="20" t="inlineStr">
        <is>
          <t>본안</t>
        </is>
      </c>
      <c r="M72" s="20" t="inlineStr">
        <is>
          <t>차관·현지부담</t>
        </is>
      </c>
      <c r="N72" s="21" t="inlineStr">
        <is>
          <t>-</t>
        </is>
      </c>
    </row>
    <row r="73" ht="30" customHeight="1">
      <c r="A73" s="20" t="n">
        <v>69</v>
      </c>
      <c r="B73" s="21" t="inlineStr">
        <is>
          <t>E. 유가공공장(5톤/일)</t>
        </is>
      </c>
      <c r="C73" s="21" t="inlineStr">
        <is>
          <t>유틸리티</t>
        </is>
      </c>
      <c r="D73" s="21" t="inlineStr">
        <is>
          <t>공기압축기(오일프리) + 에어드라이어</t>
        </is>
      </c>
      <c r="E73" s="21" t="inlineStr">
        <is>
          <t>-</t>
        </is>
      </c>
      <c r="F73" s="21" t="inlineStr">
        <is>
          <t>-</t>
        </is>
      </c>
      <c r="G73" s="20" t="inlineStr">
        <is>
          <t>식</t>
        </is>
      </c>
      <c r="H73" s="22" t="n">
        <v>1</v>
      </c>
      <c r="I73" s="23" t="n">
        <v>45000000</v>
      </c>
      <c r="J73" s="24">
        <f>H73*I73</f>
        <v/>
      </c>
      <c r="K73" s="23">
        <f>ROUND(J73/'05.전제조건'!$C$5,0)</f>
        <v/>
      </c>
      <c r="L73" s="20" t="inlineStr">
        <is>
          <t>본안</t>
        </is>
      </c>
      <c r="M73" s="20" t="inlineStr">
        <is>
          <t>차관·현지부담</t>
        </is>
      </c>
      <c r="N73" s="21" t="inlineStr">
        <is>
          <t>-</t>
        </is>
      </c>
    </row>
    <row r="74" ht="30" customHeight="1">
      <c r="A74" s="20" t="n">
        <v>70</v>
      </c>
      <c r="B74" s="21" t="inlineStr">
        <is>
          <t>E. 유가공공장(5톤/일)</t>
        </is>
      </c>
      <c r="C74" s="21" t="inlineStr">
        <is>
          <t>유틸리티</t>
        </is>
      </c>
      <c r="D74" s="21" t="inlineStr">
        <is>
          <t>연수·RO 정수설비 10톤/h</t>
        </is>
      </c>
      <c r="E74" s="21" t="inlineStr">
        <is>
          <t>-</t>
        </is>
      </c>
      <c r="F74" s="21" t="inlineStr">
        <is>
          <t>-</t>
        </is>
      </c>
      <c r="G74" s="20" t="inlineStr">
        <is>
          <t>식</t>
        </is>
      </c>
      <c r="H74" s="22" t="n">
        <v>1</v>
      </c>
      <c r="I74" s="23" t="n">
        <v>60000000</v>
      </c>
      <c r="J74" s="24">
        <f>H74*I74</f>
        <v/>
      </c>
      <c r="K74" s="23">
        <f>ROUND(J74/'05.전제조건'!$C$5,0)</f>
        <v/>
      </c>
      <c r="L74" s="20" t="inlineStr">
        <is>
          <t>본안</t>
        </is>
      </c>
      <c r="M74" s="20" t="inlineStr">
        <is>
          <t>차관·현지부담</t>
        </is>
      </c>
      <c r="N74" s="21" t="inlineStr">
        <is>
          <t>★ 우즈벡 원수 경도 높음 — 필수</t>
        </is>
      </c>
    </row>
    <row r="75" ht="30" customHeight="1">
      <c r="A75" s="20" t="n">
        <v>71</v>
      </c>
      <c r="B75" s="21" t="inlineStr">
        <is>
          <t>E. 유가공공장(5톤/일)</t>
        </is>
      </c>
      <c r="C75" s="21" t="inlineStr">
        <is>
          <t>저장·물류</t>
        </is>
      </c>
      <c r="D75" s="21" t="inlineStr">
        <is>
          <t>냉장창고 0~4℃ 100㎡ / 냉동창고 -20℃ 30㎡</t>
        </is>
      </c>
      <c r="E75" s="21" t="inlineStr">
        <is>
          <t>-</t>
        </is>
      </c>
      <c r="F75" s="21" t="inlineStr">
        <is>
          <t>-</t>
        </is>
      </c>
      <c r="G75" s="20" t="inlineStr">
        <is>
          <t>식</t>
        </is>
      </c>
      <c r="H75" s="22" t="n">
        <v>1</v>
      </c>
      <c r="I75" s="23" t="n">
        <v>150000000</v>
      </c>
      <c r="J75" s="24">
        <f>H75*I75</f>
        <v/>
      </c>
      <c r="K75" s="23">
        <f>ROUND(J75/'05.전제조건'!$C$5,0)</f>
        <v/>
      </c>
      <c r="L75" s="20" t="inlineStr">
        <is>
          <t>본안</t>
        </is>
      </c>
      <c r="M75" s="20" t="inlineStr">
        <is>
          <t>차관·현지부담</t>
        </is>
      </c>
      <c r="N75" s="21" t="inlineStr">
        <is>
          <t>-</t>
        </is>
      </c>
    </row>
    <row r="76" ht="30" customHeight="1">
      <c r="A76" s="20" t="n">
        <v>72</v>
      </c>
      <c r="B76" s="21" t="inlineStr">
        <is>
          <t>E. 유가공공장(5톤/일)</t>
        </is>
      </c>
      <c r="C76" s="21" t="inlineStr">
        <is>
          <t>저장·물류</t>
        </is>
      </c>
      <c r="D76" s="21" t="inlineStr">
        <is>
          <t>냉장 배송차량 3.5톤</t>
        </is>
      </c>
      <c r="E76" s="21" t="inlineStr">
        <is>
          <t>냉동기 장착, 온도기록계</t>
        </is>
      </c>
      <c r="F76" s="21" t="inlineStr">
        <is>
          <t>-</t>
        </is>
      </c>
      <c r="G76" s="20" t="inlineStr">
        <is>
          <t>대</t>
        </is>
      </c>
      <c r="H76" s="22" t="n">
        <v>2</v>
      </c>
      <c r="I76" s="23" t="n">
        <v>65000000</v>
      </c>
      <c r="J76" s="24">
        <f>H76*I76</f>
        <v/>
      </c>
      <c r="K76" s="23">
        <f>ROUND(J76/'05.전제조건'!$C$5,0)</f>
        <v/>
      </c>
      <c r="L76" s="20" t="inlineStr">
        <is>
          <t>본안</t>
        </is>
      </c>
      <c r="M76" s="20" t="inlineStr">
        <is>
          <t>차관·현지부담</t>
        </is>
      </c>
      <c r="N76" s="21" t="inlineStr">
        <is>
          <t>콜드체인 확보가 브랜드 신뢰의 출발점</t>
        </is>
      </c>
    </row>
    <row r="77" ht="30" customHeight="1">
      <c r="A77" s="20" t="n">
        <v>73</v>
      </c>
      <c r="B77" s="21" t="inlineStr">
        <is>
          <t>E. 유가공공장(5톤/일)</t>
        </is>
      </c>
      <c r="C77" s="21" t="inlineStr">
        <is>
          <t>설치·시운전</t>
        </is>
      </c>
      <c r="D77" s="21" t="inlineStr">
        <is>
          <t>위생배관(SUS316L)·밸브·설치·시운전·교육</t>
        </is>
      </c>
      <c r="E77" s="21" t="inlineStr">
        <is>
          <t>라인 전체 배관 및 시운전</t>
        </is>
      </c>
      <c r="F77" s="21" t="inlineStr">
        <is>
          <t>-</t>
        </is>
      </c>
      <c r="G77" s="20" t="inlineStr">
        <is>
          <t>식</t>
        </is>
      </c>
      <c r="H77" s="22" t="n">
        <v>1</v>
      </c>
      <c r="I77" s="23" t="n">
        <v>200000000</v>
      </c>
      <c r="J77" s="24">
        <f>H77*I77</f>
        <v/>
      </c>
      <c r="K77" s="23">
        <f>ROUND(J77/'05.전제조건'!$C$5,0)</f>
        <v/>
      </c>
      <c r="L77" s="20" t="inlineStr">
        <is>
          <t>본안</t>
        </is>
      </c>
      <c r="M77" s="20" t="inlineStr">
        <is>
          <t>차관·현지부담</t>
        </is>
      </c>
      <c r="N77" s="21" t="inlineStr">
        <is>
          <t>-</t>
        </is>
      </c>
    </row>
    <row r="78" ht="30" customHeight="1">
      <c r="A78" s="20" t="n">
        <v>74</v>
      </c>
      <c r="B78" s="21" t="inlineStr">
        <is>
          <t>E. 유가공공장(5톤/일)</t>
        </is>
      </c>
      <c r="C78" s="21" t="inlineStr">
        <is>
          <t>환경</t>
        </is>
      </c>
      <c r="D78" s="21" t="inlineStr">
        <is>
          <t>유가공 폐수처리설비 50톤/일</t>
        </is>
      </c>
      <c r="E78" s="21" t="inlineStr">
        <is>
          <t>DAF + 생물학적 처리</t>
        </is>
      </c>
      <c r="F78" s="21" t="inlineStr">
        <is>
          <t>-</t>
        </is>
      </c>
      <c r="G78" s="20" t="inlineStr">
        <is>
          <t>식</t>
        </is>
      </c>
      <c r="H78" s="22" t="n">
        <v>1</v>
      </c>
      <c r="I78" s="23" t="n">
        <v>200000000</v>
      </c>
      <c r="J78" s="24">
        <f>H78*I78</f>
        <v/>
      </c>
      <c r="K78" s="23">
        <f>ROUND(J78/'05.전제조건'!$C$5,0)</f>
        <v/>
      </c>
      <c r="L78" s="20" t="inlineStr">
        <is>
          <t>본안</t>
        </is>
      </c>
      <c r="M78" s="20" t="inlineStr">
        <is>
          <t>차관·현지부담</t>
        </is>
      </c>
      <c r="N78" s="21" t="inlineStr">
        <is>
          <t>현지 환경규제 대응</t>
        </is>
      </c>
    </row>
    <row r="79" ht="30" customHeight="1">
      <c r="A79" s="27" t="n">
        <v>75</v>
      </c>
      <c r="B79" s="28" t="inlineStr">
        <is>
          <t>F. 원유·유제품 품질관리</t>
        </is>
      </c>
      <c r="C79" s="28" t="inlineStr">
        <is>
          <t>원유 품질 관리 및 실험 기자재</t>
        </is>
      </c>
      <c r="D79" s="28" t="inlineStr">
        <is>
          <t>원유 잔류물질(항생물질) 검사기 + 키트</t>
        </is>
      </c>
      <c r="E79" s="28" t="inlineStr">
        <is>
          <t>β-lactam/Tetracycline 스크리닝</t>
        </is>
      </c>
      <c r="F79" s="28" t="inlineStr">
        <is>
          <t>Charm / Delvotest 급</t>
        </is>
      </c>
      <c r="G79" s="27" t="inlineStr">
        <is>
          <t>식</t>
        </is>
      </c>
      <c r="H79" s="29" t="n">
        <v>1</v>
      </c>
      <c r="I79" s="30" t="n">
        <v>18000000</v>
      </c>
      <c r="J79" s="31">
        <f>H79*I79</f>
        <v/>
      </c>
      <c r="K79" s="30">
        <f>ROUND(J79/'05.전제조건'!$C$5,0)</f>
        <v/>
      </c>
      <c r="L79" s="27" t="inlineStr">
        <is>
          <t>본안</t>
        </is>
      </c>
      <c r="M79" s="27" t="inlineStr">
        <is>
          <t>무상(KOICA)</t>
        </is>
      </c>
      <c r="N79" s="28" t="inlineStr">
        <is>
          <t>★ 원본 '원유 잔류물질 검사기' 반영</t>
        </is>
      </c>
    </row>
    <row r="80" ht="30" customHeight="1">
      <c r="A80" s="27" t="n">
        <v>76</v>
      </c>
      <c r="B80" s="28" t="inlineStr">
        <is>
          <t>F. 원유·유제품 품질관리</t>
        </is>
      </c>
      <c r="C80" s="28" t="inlineStr">
        <is>
          <t>원유 품질 관리 및 실험 기자재</t>
        </is>
      </c>
      <c r="D80" s="28" t="inlineStr">
        <is>
          <t>원유 가수(빙점) 분석기</t>
        </is>
      </c>
      <c r="E80" s="28" t="inlineStr">
        <is>
          <t>Cryoscope, ±0.001℃</t>
        </is>
      </c>
      <c r="F80" s="28" t="inlineStr">
        <is>
          <t>-</t>
        </is>
      </c>
      <c r="G80" s="27" t="inlineStr">
        <is>
          <t>대</t>
        </is>
      </c>
      <c r="H80" s="29" t="n">
        <v>1</v>
      </c>
      <c r="I80" s="30" t="n">
        <v>15000000</v>
      </c>
      <c r="J80" s="31">
        <f>H80*I80</f>
        <v/>
      </c>
      <c r="K80" s="30">
        <f>ROUND(J80/'05.전제조건'!$C$5,0)</f>
        <v/>
      </c>
      <c r="L80" s="27" t="inlineStr">
        <is>
          <t>본안</t>
        </is>
      </c>
      <c r="M80" s="27" t="inlineStr">
        <is>
          <t>무상(KOICA)</t>
        </is>
      </c>
      <c r="N80" s="28" t="inlineStr">
        <is>
          <t>★ 원본 '원유 가수 분석기' 반영</t>
        </is>
      </c>
    </row>
    <row r="81" ht="30" customHeight="1">
      <c r="A81" s="27" t="n">
        <v>77</v>
      </c>
      <c r="B81" s="28" t="inlineStr">
        <is>
          <t>F. 원유·유제품 품질관리</t>
        </is>
      </c>
      <c r="C81" s="28" t="inlineStr">
        <is>
          <t>원유 품질 관리 및 실험 기자재</t>
        </is>
      </c>
      <c r="D81" s="28" t="inlineStr">
        <is>
          <t>원유 유성분 분석기</t>
        </is>
      </c>
      <c r="E81" s="28" t="inlineStr">
        <is>
          <t>지방·단백·유당·고형분·MUN, 적외선식</t>
        </is>
      </c>
      <c r="F81" s="28" t="inlineStr">
        <is>
          <t>MilkoScan / LactoScan 급</t>
        </is>
      </c>
      <c r="G81" s="27" t="inlineStr">
        <is>
          <t>대</t>
        </is>
      </c>
      <c r="H81" s="29" t="n">
        <v>1</v>
      </c>
      <c r="I81" s="30" t="n">
        <v>45000000</v>
      </c>
      <c r="J81" s="31">
        <f>H81*I81</f>
        <v/>
      </c>
      <c r="K81" s="30">
        <f>ROUND(J81/'05.전제조건'!$C$5,0)</f>
        <v/>
      </c>
      <c r="L81" s="27" t="inlineStr">
        <is>
          <t>본안</t>
        </is>
      </c>
      <c r="M81" s="27" t="inlineStr">
        <is>
          <t>무상(KOICA)</t>
        </is>
      </c>
      <c r="N81" s="28" t="inlineStr">
        <is>
          <t>★ 원본 '원유유성분분석기' 반영. 개체별 성적관리 연동</t>
        </is>
      </c>
    </row>
    <row r="82" ht="30" customHeight="1">
      <c r="A82" s="27" t="n">
        <v>78</v>
      </c>
      <c r="B82" s="28" t="inlineStr">
        <is>
          <t>F. 원유·유제품 품질관리</t>
        </is>
      </c>
      <c r="C82" s="28" t="inlineStr">
        <is>
          <t>원유 품질 관리 및 실험 기자재</t>
        </is>
      </c>
      <c r="D82" s="28" t="inlineStr">
        <is>
          <t>체세포 측정기</t>
        </is>
      </c>
      <c r="E82" s="28" t="inlineStr">
        <is>
          <t>형광 이미지식, 개체별 측정</t>
        </is>
      </c>
      <c r="F82" s="28" t="inlineStr">
        <is>
          <t>DCC / Fossomatic 급</t>
        </is>
      </c>
      <c r="G82" s="27" t="inlineStr">
        <is>
          <t>대</t>
        </is>
      </c>
      <c r="H82" s="29" t="n">
        <v>1</v>
      </c>
      <c r="I82" s="30" t="n">
        <v>35000000</v>
      </c>
      <c r="J82" s="31">
        <f>H82*I82</f>
        <v/>
      </c>
      <c r="K82" s="30">
        <f>ROUND(J82/'05.전제조건'!$C$5,0)</f>
        <v/>
      </c>
      <c r="L82" s="27" t="inlineStr">
        <is>
          <t>본안</t>
        </is>
      </c>
      <c r="M82" s="27" t="inlineStr">
        <is>
          <t>무상(KOICA)</t>
        </is>
      </c>
      <c r="N82" s="28" t="inlineStr">
        <is>
          <t>★ 원본 '체세포 및 세균수 측정기' 분리 반영</t>
        </is>
      </c>
    </row>
    <row r="83" ht="30" customHeight="1">
      <c r="A83" s="27" t="n">
        <v>79</v>
      </c>
      <c r="B83" s="28" t="inlineStr">
        <is>
          <t>F. 원유·유제품 품질관리</t>
        </is>
      </c>
      <c r="C83" s="28" t="inlineStr">
        <is>
          <t>원유 품질 관리 및 실험 기자재</t>
        </is>
      </c>
      <c r="D83" s="28" t="inlineStr">
        <is>
          <t>세균수 측정기</t>
        </is>
      </c>
      <c r="E83" s="28" t="inlineStr">
        <is>
          <t>총균수 자동측정</t>
        </is>
      </c>
      <c r="F83" s="28" t="inlineStr">
        <is>
          <t>BactoScan 급</t>
        </is>
      </c>
      <c r="G83" s="27" t="inlineStr">
        <is>
          <t>대</t>
        </is>
      </c>
      <c r="H83" s="29" t="n">
        <v>1</v>
      </c>
      <c r="I83" s="30" t="n">
        <v>30000000</v>
      </c>
      <c r="J83" s="31">
        <f>H83*I83</f>
        <v/>
      </c>
      <c r="K83" s="30">
        <f>ROUND(J83/'05.전제조건'!$C$5,0)</f>
        <v/>
      </c>
      <c r="L83" s="27" t="inlineStr">
        <is>
          <t>본안</t>
        </is>
      </c>
      <c r="M83" s="27" t="inlineStr">
        <is>
          <t>무상(KOICA)</t>
        </is>
      </c>
      <c r="N83" s="28" t="inlineStr">
        <is>
          <t>★ 원본 '체세포 및 세균수 측정기' 분리 반영</t>
        </is>
      </c>
    </row>
    <row r="84" ht="30" customHeight="1">
      <c r="A84" s="27" t="n">
        <v>80</v>
      </c>
      <c r="B84" s="28" t="inlineStr">
        <is>
          <t>F. 원유·유제품 품질관리</t>
        </is>
      </c>
      <c r="C84" s="28" t="inlineStr">
        <is>
          <t>이화학 검사 도구</t>
        </is>
      </c>
      <c r="D84" s="28" t="inlineStr">
        <is>
          <t>알코올 반응용 시험관</t>
        </is>
      </c>
      <c r="E84" s="28" t="inlineStr">
        <is>
          <t>68~72% 알코올 시험용, 1box</t>
        </is>
      </c>
      <c r="F84" s="28" t="inlineStr">
        <is>
          <t>-</t>
        </is>
      </c>
      <c r="G84" s="27" t="inlineStr">
        <is>
          <t>box</t>
        </is>
      </c>
      <c r="H84" s="29" t="n">
        <v>10</v>
      </c>
      <c r="I84" s="30" t="n">
        <v>50000</v>
      </c>
      <c r="J84" s="31">
        <f>H84*I84</f>
        <v/>
      </c>
      <c r="K84" s="30">
        <f>ROUND(J84/'05.전제조건'!$C$5,0)</f>
        <v/>
      </c>
      <c r="L84" s="27" t="inlineStr">
        <is>
          <t>본안</t>
        </is>
      </c>
      <c r="M84" s="27" t="inlineStr">
        <is>
          <t>무상(KOICA)</t>
        </is>
      </c>
      <c r="N84" s="28" t="inlineStr">
        <is>
          <t>★ 원본 리스트 그대로 반영</t>
        </is>
      </c>
    </row>
    <row r="85" ht="30" customHeight="1">
      <c r="A85" s="27" t="n">
        <v>81</v>
      </c>
      <c r="B85" s="28" t="inlineStr">
        <is>
          <t>F. 원유·유제품 품질관리</t>
        </is>
      </c>
      <c r="C85" s="28" t="inlineStr">
        <is>
          <t>이화학 검사 도구</t>
        </is>
      </c>
      <c r="D85" s="28" t="inlineStr">
        <is>
          <t>유제품 pH 측정기</t>
        </is>
      </c>
      <c r="E85" s="28" t="inlineStr">
        <is>
          <t>±0.01, 온도보정</t>
        </is>
      </c>
      <c r="F85" s="28" t="inlineStr">
        <is>
          <t>-</t>
        </is>
      </c>
      <c r="G85" s="27" t="inlineStr">
        <is>
          <t>대</t>
        </is>
      </c>
      <c r="H85" s="29" t="n">
        <v>3</v>
      </c>
      <c r="I85" s="30" t="n">
        <v>1200000</v>
      </c>
      <c r="J85" s="31">
        <f>H85*I85</f>
        <v/>
      </c>
      <c r="K85" s="30">
        <f>ROUND(J85/'05.전제조건'!$C$5,0)</f>
        <v/>
      </c>
      <c r="L85" s="27" t="inlineStr">
        <is>
          <t>본안</t>
        </is>
      </c>
      <c r="M85" s="27" t="inlineStr">
        <is>
          <t>무상(KOICA)</t>
        </is>
      </c>
      <c r="N85" s="28" t="inlineStr">
        <is>
          <t>★ 원본 리스트 그대로 반영</t>
        </is>
      </c>
    </row>
    <row r="86" ht="30" customHeight="1">
      <c r="A86" s="27" t="n">
        <v>82</v>
      </c>
      <c r="B86" s="28" t="inlineStr">
        <is>
          <t>F. 원유·유제품 품질관리</t>
        </is>
      </c>
      <c r="C86" s="28" t="inlineStr">
        <is>
          <t>이화학 검사 도구</t>
        </is>
      </c>
      <c r="D86" s="28" t="inlineStr">
        <is>
          <t>뷰렛(산도 적정 세트)</t>
        </is>
      </c>
      <c r="E86" s="28" t="inlineStr">
        <is>
          <t>25ml 자동뷰렛 + 시약</t>
        </is>
      </c>
      <c r="F86" s="28" t="inlineStr">
        <is>
          <t>-</t>
        </is>
      </c>
      <c r="G86" s="27" t="inlineStr">
        <is>
          <t>식</t>
        </is>
      </c>
      <c r="H86" s="29" t="n">
        <v>5</v>
      </c>
      <c r="I86" s="30" t="n">
        <v>400000</v>
      </c>
      <c r="J86" s="31">
        <f>H86*I86</f>
        <v/>
      </c>
      <c r="K86" s="30">
        <f>ROUND(J86/'05.전제조건'!$C$5,0)</f>
        <v/>
      </c>
      <c r="L86" s="27" t="inlineStr">
        <is>
          <t>본안</t>
        </is>
      </c>
      <c r="M86" s="27" t="inlineStr">
        <is>
          <t>무상(KOICA)</t>
        </is>
      </c>
      <c r="N86" s="28" t="inlineStr">
        <is>
          <t>★ 원본 리스트 그대로 반영</t>
        </is>
      </c>
    </row>
    <row r="87" ht="30" customHeight="1">
      <c r="A87" s="27" t="n">
        <v>83</v>
      </c>
      <c r="B87" s="28" t="inlineStr">
        <is>
          <t>F. 원유·유제품 품질관리</t>
        </is>
      </c>
      <c r="C87" s="28" t="inlineStr">
        <is>
          <t>이화학 검사 도구</t>
        </is>
      </c>
      <c r="D87" s="28" t="inlineStr">
        <is>
          <t>미생물 검사 세트(배양기·오토클레이브·클린벤치·콜로니카운터)</t>
        </is>
      </c>
      <c r="E87" s="28" t="inlineStr">
        <is>
          <t>대장균군·살모넬라·리스테리아 대응</t>
        </is>
      </c>
      <c r="F87" s="28" t="inlineStr">
        <is>
          <t>-</t>
        </is>
      </c>
      <c r="G87" s="27" t="inlineStr">
        <is>
          <t>식</t>
        </is>
      </c>
      <c r="H87" s="29" t="n">
        <v>1</v>
      </c>
      <c r="I87" s="30" t="n">
        <v>60000000</v>
      </c>
      <c r="J87" s="31">
        <f>H87*I87</f>
        <v/>
      </c>
      <c r="K87" s="30">
        <f>ROUND(J87/'05.전제조건'!$C$5,0)</f>
        <v/>
      </c>
      <c r="L87" s="27" t="inlineStr">
        <is>
          <t>본안</t>
        </is>
      </c>
      <c r="M87" s="27" t="inlineStr">
        <is>
          <t>무상(KOICA)</t>
        </is>
      </c>
      <c r="N87" s="28" t="inlineStr">
        <is>
          <t>유가공 HACCP 필수 — 원본 보완</t>
        </is>
      </c>
    </row>
    <row r="88" ht="30" customHeight="1">
      <c r="A88" s="27" t="n">
        <v>84</v>
      </c>
      <c r="B88" s="28" t="inlineStr">
        <is>
          <t>F. 원유·유제품 품질관리</t>
        </is>
      </c>
      <c r="C88" s="28" t="inlineStr">
        <is>
          <t>이화학 검사 도구</t>
        </is>
      </c>
      <c r="D88" s="28" t="inlineStr">
        <is>
          <t>항온수조·건조기·정밀저울·원심분리기</t>
        </is>
      </c>
      <c r="E88" s="28" t="inlineStr">
        <is>
          <t>-</t>
        </is>
      </c>
      <c r="F88" s="28" t="inlineStr">
        <is>
          <t>-</t>
        </is>
      </c>
      <c r="G88" s="27" t="inlineStr">
        <is>
          <t>식</t>
        </is>
      </c>
      <c r="H88" s="29" t="n">
        <v>1</v>
      </c>
      <c r="I88" s="30" t="n">
        <v>25000000</v>
      </c>
      <c r="J88" s="31">
        <f>H88*I88</f>
        <v/>
      </c>
      <c r="K88" s="30">
        <f>ROUND(J88/'05.전제조건'!$C$5,0)</f>
        <v/>
      </c>
      <c r="L88" s="27" t="inlineStr">
        <is>
          <t>본안</t>
        </is>
      </c>
      <c r="M88" s="27" t="inlineStr">
        <is>
          <t>무상(KOICA)</t>
        </is>
      </c>
      <c r="N88" s="28" t="inlineStr">
        <is>
          <t>-</t>
        </is>
      </c>
    </row>
    <row r="89" ht="30" customHeight="1">
      <c r="A89" s="27" t="n">
        <v>85</v>
      </c>
      <c r="B89" s="28" t="inlineStr">
        <is>
          <t>F. 원유·유제품 품질관리</t>
        </is>
      </c>
      <c r="C89" s="28" t="inlineStr">
        <is>
          <t>이화학 검사 도구</t>
        </is>
      </c>
      <c r="D89" s="28" t="inlineStr">
        <is>
          <t>실험실 가구·흄후드·세척대</t>
        </is>
      </c>
      <c r="E89" s="28" t="inlineStr">
        <is>
          <t>-</t>
        </is>
      </c>
      <c r="F89" s="28" t="inlineStr">
        <is>
          <t>-</t>
        </is>
      </c>
      <c r="G89" s="27" t="inlineStr">
        <is>
          <t>식</t>
        </is>
      </c>
      <c r="H89" s="29" t="n">
        <v>1</v>
      </c>
      <c r="I89" s="30" t="n">
        <v>40000000</v>
      </c>
      <c r="J89" s="31">
        <f>H89*I89</f>
        <v/>
      </c>
      <c r="K89" s="30">
        <f>ROUND(J89/'05.전제조건'!$C$5,0)</f>
        <v/>
      </c>
      <c r="L89" s="27" t="inlineStr">
        <is>
          <t>본안</t>
        </is>
      </c>
      <c r="M89" s="27" t="inlineStr">
        <is>
          <t>무상(KOICA)</t>
        </is>
      </c>
      <c r="N89" s="28" t="inlineStr">
        <is>
          <t>-</t>
        </is>
      </c>
    </row>
    <row r="90" ht="30" customHeight="1">
      <c r="A90" s="20" t="n">
        <v>86</v>
      </c>
      <c r="B90" s="21" t="inlineStr">
        <is>
          <t>G. 인공수정(A.I.) 기자재</t>
        </is>
      </c>
      <c r="C90" s="21" t="inlineStr">
        <is>
          <t>소 인공수정 기자재</t>
        </is>
      </c>
      <c r="D90" s="21" t="inlineStr">
        <is>
          <t>소주입기 (국산, 버튼식)</t>
        </is>
      </c>
      <c r="E90" s="21" t="inlineStr">
        <is>
          <t>국산 버튼식</t>
        </is>
      </c>
      <c r="F90" s="21" t="inlineStr">
        <is>
          <t>국산 (버튼식)</t>
        </is>
      </c>
      <c r="G90" s="20" t="inlineStr">
        <is>
          <t>개</t>
        </is>
      </c>
      <c r="H90" s="22" t="n">
        <v>5</v>
      </c>
      <c r="I90" s="23" t="n">
        <v>50000</v>
      </c>
      <c r="J90" s="24">
        <f>H90*I90</f>
        <v/>
      </c>
      <c r="K90" s="23">
        <f>ROUND(J90/'05.전제조건'!$C$5,0)</f>
        <v/>
      </c>
      <c r="L90" s="20" t="inlineStr">
        <is>
          <t>본안</t>
        </is>
      </c>
      <c r="M90" s="20" t="inlineStr">
        <is>
          <t>무상(KOICA)</t>
        </is>
      </c>
      <c r="N90" s="21" t="inlineStr">
        <is>
          <t>★ 원본 반영. 수정사 2인 + 예비 기준 최소수량</t>
        </is>
      </c>
    </row>
    <row r="91" ht="30" customHeight="1">
      <c r="A91" s="20" t="n">
        <v>87</v>
      </c>
      <c r="B91" s="21" t="inlineStr">
        <is>
          <t>G. 인공수정(A.I.) 기자재</t>
        </is>
      </c>
      <c r="C91" s="21" t="inlineStr">
        <is>
          <t>소 인공수정 기자재</t>
        </is>
      </c>
      <c r="D91" s="21" t="inlineStr">
        <is>
          <t>소주입기 (Quick Lock Classic)</t>
        </is>
      </c>
      <c r="E91" s="21" t="inlineStr">
        <is>
          <t>독일 Minitube 社 제품</t>
        </is>
      </c>
      <c r="F91" s="21" t="inlineStr">
        <is>
          <t>Minitube Quick Lock Classic</t>
        </is>
      </c>
      <c r="G91" s="20" t="inlineStr">
        <is>
          <t>개</t>
        </is>
      </c>
      <c r="H91" s="22" t="n">
        <v>3</v>
      </c>
      <c r="I91" s="23" t="n">
        <v>250000</v>
      </c>
      <c r="J91" s="24">
        <f>H91*I91</f>
        <v/>
      </c>
      <c r="K91" s="23">
        <f>ROUND(J91/'05.전제조건'!$C$5,0)</f>
        <v/>
      </c>
      <c r="L91" s="20" t="inlineStr">
        <is>
          <t>본안</t>
        </is>
      </c>
      <c r="M91" s="20" t="inlineStr">
        <is>
          <t>무상(KOICA)</t>
        </is>
      </c>
      <c r="N91" s="21" t="inlineStr">
        <is>
          <t>★ 원본 반영. 최소수량</t>
        </is>
      </c>
    </row>
    <row r="92" ht="30" customHeight="1">
      <c r="A92" s="20" t="n">
        <v>88</v>
      </c>
      <c r="B92" s="21" t="inlineStr">
        <is>
          <t>G. 인공수정(A.I.) 기자재</t>
        </is>
      </c>
      <c r="C92" s="21" t="inlineStr">
        <is>
          <t>소 인공수정 기자재</t>
        </is>
      </c>
      <c r="D92" s="21" t="inlineStr">
        <is>
          <t>소주입기 (Quick Lock 2000)</t>
        </is>
      </c>
      <c r="E92" s="21" t="inlineStr">
        <is>
          <t>독일 Minitube 社 제품</t>
        </is>
      </c>
      <c r="F92" s="21" t="inlineStr">
        <is>
          <t>Minitube Quick Lock 2000</t>
        </is>
      </c>
      <c r="G92" s="20" t="inlineStr">
        <is>
          <t>개</t>
        </is>
      </c>
      <c r="H92" s="22" t="n">
        <v>2</v>
      </c>
      <c r="I92" s="23" t="n">
        <v>350000</v>
      </c>
      <c r="J92" s="24">
        <f>H92*I92</f>
        <v/>
      </c>
      <c r="K92" s="23">
        <f>ROUND(J92/'05.전제조건'!$C$5,0)</f>
        <v/>
      </c>
      <c r="L92" s="20" t="inlineStr">
        <is>
          <t>본안</t>
        </is>
      </c>
      <c r="M92" s="20" t="inlineStr">
        <is>
          <t>무상(KOICA)</t>
        </is>
      </c>
      <c r="N92" s="21" t="inlineStr">
        <is>
          <t>★ 원본 반영(원본 '수주입기' 오기 정정). 최소수량</t>
        </is>
      </c>
    </row>
    <row r="93" ht="30" customHeight="1">
      <c r="A93" s="20" t="n">
        <v>89</v>
      </c>
      <c r="B93" s="21" t="inlineStr">
        <is>
          <t>G. 인공수정(A.I.) 기자재</t>
        </is>
      </c>
      <c r="C93" s="21" t="inlineStr">
        <is>
          <t>소 인공수정 기자재</t>
        </is>
      </c>
      <c r="D93" s="21" t="inlineStr">
        <is>
          <t>시스 (Sheath)</t>
        </is>
      </c>
      <c r="E93" s="21" t="inlineStr">
        <is>
          <t>1box / 1,000개</t>
        </is>
      </c>
      <c r="F93" s="21" t="inlineStr">
        <is>
          <t>-</t>
        </is>
      </c>
      <c r="G93" s="20" t="inlineStr">
        <is>
          <t>box</t>
        </is>
      </c>
      <c r="H93" s="22" t="n">
        <v>3</v>
      </c>
      <c r="I93" s="23" t="n">
        <v>80000</v>
      </c>
      <c r="J93" s="24">
        <f>H93*I93</f>
        <v/>
      </c>
      <c r="K93" s="23">
        <f>ROUND(J93/'05.전제조건'!$C$5,0)</f>
        <v/>
      </c>
      <c r="L93" s="20" t="inlineStr">
        <is>
          <t>본안</t>
        </is>
      </c>
      <c r="M93" s="20" t="inlineStr">
        <is>
          <t>무상(KOICA)</t>
        </is>
      </c>
      <c r="N93" s="21" t="inlineStr">
        <is>
          <t>★ 원본 반영. 3년 소요량(연 500~600회 수정 기준)</t>
        </is>
      </c>
    </row>
    <row r="94" ht="30" customHeight="1">
      <c r="A94" s="20" t="n">
        <v>90</v>
      </c>
      <c r="B94" s="21" t="inlineStr">
        <is>
          <t>G. 인공수정(A.I.) 기자재</t>
        </is>
      </c>
      <c r="C94" s="21" t="inlineStr">
        <is>
          <t>소 인공수정 기자재</t>
        </is>
      </c>
      <c r="D94" s="21" t="inlineStr">
        <is>
          <t>직장검사용 장갑 (보급형)</t>
        </is>
      </c>
      <c r="E94" s="21" t="inlineStr">
        <is>
          <t>1box / 100매</t>
        </is>
      </c>
      <c r="F94" s="21" t="inlineStr">
        <is>
          <t>-</t>
        </is>
      </c>
      <c r="G94" s="20" t="inlineStr">
        <is>
          <t>box</t>
        </is>
      </c>
      <c r="H94" s="22" t="n">
        <v>30</v>
      </c>
      <c r="I94" s="23" t="n">
        <v>15000</v>
      </c>
      <c r="J94" s="24">
        <f>H94*I94</f>
        <v/>
      </c>
      <c r="K94" s="23">
        <f>ROUND(J94/'05.전제조건'!$C$5,0)</f>
        <v/>
      </c>
      <c r="L94" s="20" t="inlineStr">
        <is>
          <t>본안</t>
        </is>
      </c>
      <c r="M94" s="20" t="inlineStr">
        <is>
          <t>무상(KOICA)</t>
        </is>
      </c>
      <c r="N94" s="21" t="inlineStr">
        <is>
          <t>★ 원본 반영. 3년 소요량</t>
        </is>
      </c>
    </row>
    <row r="95" ht="30" customHeight="1">
      <c r="A95" s="20" t="n">
        <v>91</v>
      </c>
      <c r="B95" s="21" t="inlineStr">
        <is>
          <t>G. 인공수정(A.I.) 기자재</t>
        </is>
      </c>
      <c r="C95" s="21" t="inlineStr">
        <is>
          <t>소 인공수정 기자재</t>
        </is>
      </c>
      <c r="D95" s="21" t="inlineStr">
        <is>
          <t>직장검사용 장갑 (고급형)</t>
        </is>
      </c>
      <c r="E95" s="21" t="inlineStr">
        <is>
          <t>1box / 100매</t>
        </is>
      </c>
      <c r="F95" s="21" t="inlineStr">
        <is>
          <t>-</t>
        </is>
      </c>
      <c r="G95" s="20" t="inlineStr">
        <is>
          <t>box</t>
        </is>
      </c>
      <c r="H95" s="22" t="n">
        <v>10</v>
      </c>
      <c r="I95" s="23" t="n">
        <v>30000</v>
      </c>
      <c r="J95" s="24">
        <f>H95*I95</f>
        <v/>
      </c>
      <c r="K95" s="23">
        <f>ROUND(J95/'05.전제조건'!$C$5,0)</f>
        <v/>
      </c>
      <c r="L95" s="20" t="inlineStr">
        <is>
          <t>본안</t>
        </is>
      </c>
      <c r="M95" s="20" t="inlineStr">
        <is>
          <t>무상(KOICA)</t>
        </is>
      </c>
      <c r="N95" s="21" t="inlineStr">
        <is>
          <t>★ 원본 반영. 수정·이식 시술용</t>
        </is>
      </c>
    </row>
    <row r="96" ht="30" customHeight="1">
      <c r="A96" s="20" t="n">
        <v>92</v>
      </c>
      <c r="B96" s="21" t="inlineStr">
        <is>
          <t>G. 인공수정(A.I.) 기자재</t>
        </is>
      </c>
      <c r="C96" s="21" t="inlineStr">
        <is>
          <t>소 인공수정 기자재</t>
        </is>
      </c>
      <c r="D96" s="21" t="inlineStr">
        <is>
          <t>스트로 융해기(해동기)</t>
        </is>
      </c>
      <c r="E96" s="21" t="inlineStr">
        <is>
          <t>37℃ 정밀 항온, 규격서 별첨</t>
        </is>
      </c>
      <c r="F96" s="21" t="inlineStr">
        <is>
          <t>-</t>
        </is>
      </c>
      <c r="G96" s="20" t="inlineStr">
        <is>
          <t>대</t>
        </is>
      </c>
      <c r="H96" s="22" t="n">
        <v>2</v>
      </c>
      <c r="I96" s="23" t="n">
        <v>400000</v>
      </c>
      <c r="J96" s="24">
        <f>H96*I96</f>
        <v/>
      </c>
      <c r="K96" s="23">
        <f>ROUND(J96/'05.전제조건'!$C$5,0)</f>
        <v/>
      </c>
      <c r="L96" s="20" t="inlineStr">
        <is>
          <t>본안</t>
        </is>
      </c>
      <c r="M96" s="20" t="inlineStr">
        <is>
          <t>무상(KOICA)</t>
        </is>
      </c>
      <c r="N96" s="21" t="inlineStr">
        <is>
          <t>★ 원본 반영. 현장 1 + 예비 1</t>
        </is>
      </c>
    </row>
    <row r="97" ht="30" customHeight="1">
      <c r="A97" s="20" t="n">
        <v>93</v>
      </c>
      <c r="B97" s="21" t="inlineStr">
        <is>
          <t>G. 인공수정(A.I.) 기자재</t>
        </is>
      </c>
      <c r="C97" s="21" t="inlineStr">
        <is>
          <t>소 인공수정 기자재</t>
        </is>
      </c>
      <c r="D97" s="21" t="inlineStr">
        <is>
          <t>슬리브</t>
        </is>
      </c>
      <c r="E97" s="21" t="inlineStr">
        <is>
          <t>독일 Minitube 社 제품</t>
        </is>
      </c>
      <c r="F97" s="21" t="inlineStr">
        <is>
          <t>Minitube</t>
        </is>
      </c>
      <c r="G97" s="20" t="inlineStr">
        <is>
          <t>box</t>
        </is>
      </c>
      <c r="H97" s="22" t="n">
        <v>5</v>
      </c>
      <c r="I97" s="23" t="n">
        <v>120000</v>
      </c>
      <c r="J97" s="24">
        <f>H97*I97</f>
        <v/>
      </c>
      <c r="K97" s="23">
        <f>ROUND(J97/'05.전제조건'!$C$5,0)</f>
        <v/>
      </c>
      <c r="L97" s="20" t="inlineStr">
        <is>
          <t>본안</t>
        </is>
      </c>
      <c r="M97" s="20" t="inlineStr">
        <is>
          <t>무상(KOICA)</t>
        </is>
      </c>
      <c r="N97" s="21" t="inlineStr">
        <is>
          <t>★ 원본 반영</t>
        </is>
      </c>
    </row>
    <row r="98" ht="30" customHeight="1">
      <c r="A98" s="20" t="n">
        <v>94</v>
      </c>
      <c r="B98" s="21" t="inlineStr">
        <is>
          <t>G. 인공수정(A.I.) 기자재</t>
        </is>
      </c>
      <c r="C98" s="21" t="inlineStr">
        <is>
          <t>소 인공수정 기자재</t>
        </is>
      </c>
      <c r="D98" s="21" t="inlineStr">
        <is>
          <t>스트로 커터기</t>
        </is>
      </c>
      <c r="E98" s="21" t="inlineStr">
        <is>
          <t>독일 Minitube 社 제품</t>
        </is>
      </c>
      <c r="F98" s="21" t="inlineStr">
        <is>
          <t>Minitube</t>
        </is>
      </c>
      <c r="G98" s="20" t="inlineStr">
        <is>
          <t>개</t>
        </is>
      </c>
      <c r="H98" s="22" t="n">
        <v>2</v>
      </c>
      <c r="I98" s="23" t="n">
        <v>200000</v>
      </c>
      <c r="J98" s="24">
        <f>H98*I98</f>
        <v/>
      </c>
      <c r="K98" s="23">
        <f>ROUND(J98/'05.전제조건'!$C$5,0)</f>
        <v/>
      </c>
      <c r="L98" s="20" t="inlineStr">
        <is>
          <t>본안</t>
        </is>
      </c>
      <c r="M98" s="20" t="inlineStr">
        <is>
          <t>무상(KOICA)</t>
        </is>
      </c>
      <c r="N98" s="21" t="inlineStr">
        <is>
          <t>★ 원본 반영</t>
        </is>
      </c>
    </row>
    <row r="99" ht="30" customHeight="1">
      <c r="A99" s="20" t="n">
        <v>95</v>
      </c>
      <c r="B99" s="21" t="inlineStr">
        <is>
          <t>G. 인공수정(A.I.) 기자재</t>
        </is>
      </c>
      <c r="C99" s="21" t="inlineStr">
        <is>
          <t>소 인공수정 기자재</t>
        </is>
      </c>
      <c r="D99" s="21" t="inlineStr">
        <is>
          <t>A.I. 히팅백(정액 보온백)</t>
        </is>
      </c>
      <c r="E99" s="21" t="inlineStr">
        <is>
          <t>현장 이동용 보온</t>
        </is>
      </c>
      <c r="F99" s="21" t="inlineStr">
        <is>
          <t>-</t>
        </is>
      </c>
      <c r="G99" s="20" t="inlineStr">
        <is>
          <t>개</t>
        </is>
      </c>
      <c r="H99" s="22" t="n">
        <v>5</v>
      </c>
      <c r="I99" s="23" t="n">
        <v>150000</v>
      </c>
      <c r="J99" s="24">
        <f>H99*I99</f>
        <v/>
      </c>
      <c r="K99" s="23">
        <f>ROUND(J99/'05.전제조건'!$C$5,0)</f>
        <v/>
      </c>
      <c r="L99" s="20" t="inlineStr">
        <is>
          <t>본안</t>
        </is>
      </c>
      <c r="M99" s="20" t="inlineStr">
        <is>
          <t>무상(KOICA)</t>
        </is>
      </c>
      <c r="N99" s="21" t="inlineStr">
        <is>
          <t>★ 원본 반영</t>
        </is>
      </c>
    </row>
    <row r="100" ht="30" customHeight="1">
      <c r="A100" s="20" t="n">
        <v>96</v>
      </c>
      <c r="B100" s="21" t="inlineStr">
        <is>
          <t>G. 인공수정(A.I.) 기자재</t>
        </is>
      </c>
      <c r="C100" s="21" t="inlineStr">
        <is>
          <t>정액 보관 (액체질소통)</t>
        </is>
      </c>
      <c r="D100" s="21" t="inlineStr">
        <is>
          <t>액체 질소통 20ℓ</t>
        </is>
      </c>
      <c r="E100" s="21" t="inlineStr">
        <is>
          <t>미국 MVE / 20ℓ</t>
        </is>
      </c>
      <c r="F100" s="21" t="inlineStr">
        <is>
          <t>MVE</t>
        </is>
      </c>
      <c r="G100" s="20" t="inlineStr">
        <is>
          <t>대</t>
        </is>
      </c>
      <c r="H100" s="22" t="n">
        <v>3</v>
      </c>
      <c r="I100" s="23" t="n">
        <v>900000</v>
      </c>
      <c r="J100" s="24">
        <f>H100*I100</f>
        <v/>
      </c>
      <c r="K100" s="23">
        <f>ROUND(J100/'05.전제조건'!$C$5,0)</f>
        <v/>
      </c>
      <c r="L100" s="20" t="inlineStr">
        <is>
          <t>본안</t>
        </is>
      </c>
      <c r="M100" s="20" t="inlineStr">
        <is>
          <t>무상(KOICA)</t>
        </is>
      </c>
      <c r="N100" s="21" t="inlineStr">
        <is>
          <t>★ 원본 반영. 현장 이동·수정사 휴대용</t>
        </is>
      </c>
    </row>
    <row r="101" ht="30" customHeight="1">
      <c r="A101" s="20" t="n">
        <v>97</v>
      </c>
      <c r="B101" s="21" t="inlineStr">
        <is>
          <t>G. 인공수정(A.I.) 기자재</t>
        </is>
      </c>
      <c r="C101" s="21" t="inlineStr">
        <is>
          <t>정액 보관 (액체질소통)</t>
        </is>
      </c>
      <c r="D101" s="21" t="inlineStr">
        <is>
          <t>액체 질소통 34ℓ</t>
        </is>
      </c>
      <c r="E101" s="21" t="inlineStr">
        <is>
          <t>미국 MVE / 34ℓ</t>
        </is>
      </c>
      <c r="F101" s="21" t="inlineStr">
        <is>
          <t>MVE</t>
        </is>
      </c>
      <c r="G101" s="20" t="inlineStr">
        <is>
          <t>대</t>
        </is>
      </c>
      <c r="H101" s="22" t="n">
        <v>2</v>
      </c>
      <c r="I101" s="23" t="n">
        <v>1300000</v>
      </c>
      <c r="J101" s="24">
        <f>H101*I101</f>
        <v/>
      </c>
      <c r="K101" s="23">
        <f>ROUND(J101/'05.전제조건'!$C$5,0)</f>
        <v/>
      </c>
      <c r="L101" s="20" t="inlineStr">
        <is>
          <t>본안</t>
        </is>
      </c>
      <c r="M101" s="20" t="inlineStr">
        <is>
          <t>무상(KOICA)</t>
        </is>
      </c>
      <c r="N101" s="21" t="inlineStr">
        <is>
          <t>★ 원본 반영</t>
        </is>
      </c>
    </row>
    <row r="102" ht="30" customHeight="1">
      <c r="A102" s="20" t="n">
        <v>98</v>
      </c>
      <c r="B102" s="21" t="inlineStr">
        <is>
          <t>G. 인공수정(A.I.) 기자재</t>
        </is>
      </c>
      <c r="C102" s="21" t="inlineStr">
        <is>
          <t>정액 보관 (액체질소통)</t>
        </is>
      </c>
      <c r="D102" s="21" t="inlineStr">
        <is>
          <t>액체 질소통 47ℓ</t>
        </is>
      </c>
      <c r="E102" s="21" t="inlineStr">
        <is>
          <t>미국 MVE / 47ℓ</t>
        </is>
      </c>
      <c r="F102" s="21" t="inlineStr">
        <is>
          <t>MVE</t>
        </is>
      </c>
      <c r="G102" s="20" t="inlineStr">
        <is>
          <t>대</t>
        </is>
      </c>
      <c r="H102" s="22" t="n">
        <v>2</v>
      </c>
      <c r="I102" s="23" t="n">
        <v>1800000</v>
      </c>
      <c r="J102" s="24">
        <f>H102*I102</f>
        <v/>
      </c>
      <c r="K102" s="23">
        <f>ROUND(J102/'05.전제조건'!$C$5,0)</f>
        <v/>
      </c>
      <c r="L102" s="20" t="inlineStr">
        <is>
          <t>본안</t>
        </is>
      </c>
      <c r="M102" s="20" t="inlineStr">
        <is>
          <t>무상(KOICA)</t>
        </is>
      </c>
      <c r="N102" s="21" t="inlineStr">
        <is>
          <t>★ 원본 반영. 목장 상시 보관용</t>
        </is>
      </c>
    </row>
    <row r="103" ht="30" customHeight="1">
      <c r="A103" s="20" t="n">
        <v>99</v>
      </c>
      <c r="B103" s="21" t="inlineStr">
        <is>
          <t>G. 인공수정(A.I.) 기자재</t>
        </is>
      </c>
      <c r="C103" s="21" t="inlineStr">
        <is>
          <t>정액 보관 (액체질소통)</t>
        </is>
      </c>
      <c r="D103" s="21" t="inlineStr">
        <is>
          <t>대용량 LN2 정액보관 탱크</t>
        </is>
      </c>
      <c r="E103" s="21" t="inlineStr">
        <is>
          <t>MVE XC-47 급</t>
        </is>
      </c>
      <c r="F103" s="21" t="inlineStr">
        <is>
          <t>MVE XC-47</t>
        </is>
      </c>
      <c r="G103" s="20" t="inlineStr">
        <is>
          <t>대</t>
        </is>
      </c>
      <c r="H103" s="22" t="n">
        <v>1</v>
      </c>
      <c r="I103" s="23" t="n">
        <v>3500000</v>
      </c>
      <c r="J103" s="24">
        <f>H103*I103</f>
        <v/>
      </c>
      <c r="K103" s="23">
        <f>ROUND(J103/'05.전제조건'!$C$5,0)</f>
        <v/>
      </c>
      <c r="L103" s="20" t="inlineStr">
        <is>
          <t>본안</t>
        </is>
      </c>
      <c r="M103" s="20" t="inlineStr">
        <is>
          <t>무상(KOICA)</t>
        </is>
      </c>
      <c r="N103" s="21" t="inlineStr">
        <is>
          <t>장기 보관용 1기</t>
        </is>
      </c>
    </row>
    <row r="104" ht="30" customHeight="1">
      <c r="A104" s="20" t="n">
        <v>100</v>
      </c>
      <c r="B104" s="21" t="inlineStr">
        <is>
          <t>G. 인공수정(A.I.) 기자재</t>
        </is>
      </c>
      <c r="C104" s="21" t="inlineStr">
        <is>
          <t>정액 보관 (액체질소통)</t>
        </is>
      </c>
      <c r="D104" s="21" t="inlineStr">
        <is>
          <t>액체질소 초기 충전 및 3년 정기공급</t>
        </is>
      </c>
      <c r="E104" s="21" t="inlineStr">
        <is>
          <t>4~8주 주기 재충전 / 3년 공급계약</t>
        </is>
      </c>
      <c r="F104" s="21" t="inlineStr">
        <is>
          <t>-</t>
        </is>
      </c>
      <c r="G104" s="20" t="inlineStr">
        <is>
          <t>식</t>
        </is>
      </c>
      <c r="H104" s="22" t="n">
        <v>1</v>
      </c>
      <c r="I104" s="23" t="n">
        <v>60000000</v>
      </c>
      <c r="J104" s="24">
        <f>H104*I104</f>
        <v/>
      </c>
      <c r="K104" s="23">
        <f>ROUND(J104/'05.전제조건'!$C$5,0)</f>
        <v/>
      </c>
      <c r="L104" s="20" t="inlineStr">
        <is>
          <t>본안</t>
        </is>
      </c>
      <c r="M104" s="20" t="inlineStr">
        <is>
          <t>무상(KOICA)</t>
        </is>
      </c>
      <c r="N104" s="26" t="inlineStr">
        <is>
          <t>▲ 질소발생기 미도입 결정에 따라 이 항목이 유전자원 보존의 단일 의존점이 됩니다. 현지 LN2 공급업체와 3년 공급계약 확보를 사업 착수 전제조건으로 명시할 것</t>
        </is>
      </c>
    </row>
    <row r="105" ht="30" customHeight="1">
      <c r="A105" s="20" t="n">
        <v>101</v>
      </c>
      <c r="B105" s="21" t="inlineStr">
        <is>
          <t>G. 인공수정(A.I.) 기자재</t>
        </is>
      </c>
      <c r="C105" s="21" t="inlineStr">
        <is>
          <t>번식 진단</t>
        </is>
      </c>
      <c r="D105" s="21" t="inlineStr">
        <is>
          <t>초음파 진단기 MyLab One Vet</t>
        </is>
      </c>
      <c r="E105" s="21" t="inlineStr">
        <is>
          <t>소·돼지·말 등 가축번식 진단용</t>
        </is>
      </c>
      <c r="F105" s="21" t="inlineStr">
        <is>
          <t>Esaote MyLab One Vet</t>
        </is>
      </c>
      <c r="G105" s="20" t="inlineStr">
        <is>
          <t>대</t>
        </is>
      </c>
      <c r="H105" s="22" t="n">
        <v>1</v>
      </c>
      <c r="I105" s="23" t="n">
        <v>25000000</v>
      </c>
      <c r="J105" s="24">
        <f>H105*I105</f>
        <v/>
      </c>
      <c r="K105" s="23">
        <f>ROUND(J105/'05.전제조건'!$C$5,0)</f>
        <v/>
      </c>
      <c r="L105" s="20" t="inlineStr">
        <is>
          <t>본안</t>
        </is>
      </c>
      <c r="M105" s="20" t="inlineStr">
        <is>
          <t>무상(KOICA)</t>
        </is>
      </c>
      <c r="N105" s="21" t="inlineStr">
        <is>
          <t>★ 원본 반영. 번식진단 주력기 1대</t>
        </is>
      </c>
    </row>
    <row r="106" ht="30" customHeight="1">
      <c r="A106" s="20" t="n">
        <v>102</v>
      </c>
      <c r="B106" s="21" t="inlineStr">
        <is>
          <t>G. 인공수정(A.I.) 기자재</t>
        </is>
      </c>
      <c r="C106" s="21" t="inlineStr">
        <is>
          <t>번식 진단</t>
        </is>
      </c>
      <c r="D106" s="21" t="inlineStr">
        <is>
          <t>대가축 임신진단기 Tringa Linear</t>
        </is>
      </c>
      <c r="E106" s="21" t="inlineStr">
        <is>
          <t>대가축 임신 진단기</t>
        </is>
      </c>
      <c r="F106" s="21" t="inlineStr">
        <is>
          <t>Esaote Tringa Linear</t>
        </is>
      </c>
      <c r="G106" s="20" t="inlineStr">
        <is>
          <t>대</t>
        </is>
      </c>
      <c r="H106" s="22" t="n">
        <v>2</v>
      </c>
      <c r="I106" s="23" t="n">
        <v>6000000</v>
      </c>
      <c r="J106" s="24">
        <f>H106*I106</f>
        <v/>
      </c>
      <c r="K106" s="23">
        <f>ROUND(J106/'05.전제조건'!$C$5,0)</f>
        <v/>
      </c>
      <c r="L106" s="20" t="inlineStr">
        <is>
          <t>본안</t>
        </is>
      </c>
      <c r="M106" s="20" t="inlineStr">
        <is>
          <t>무상(KOICA)</t>
        </is>
      </c>
      <c r="N106" s="21" t="inlineStr">
        <is>
          <t>★ 원본 반영. 현장 보급형 + 현지 수의사 교육용</t>
        </is>
      </c>
    </row>
    <row r="107" ht="30" customHeight="1">
      <c r="A107" s="20" t="n">
        <v>103</v>
      </c>
      <c r="B107" s="21" t="inlineStr">
        <is>
          <t>G. 인공수정(A.I.) 기자재</t>
        </is>
      </c>
      <c r="C107" s="21" t="inlineStr">
        <is>
          <t>번식 현장관리</t>
        </is>
      </c>
      <c r="D107" s="21" t="inlineStr">
        <is>
          <t>수정 기록용 현장 단말(태블릿·방수형)</t>
        </is>
      </c>
      <c r="E107" s="21" t="inlineStr">
        <is>
          <t>CowTalk AI 앱 연동</t>
        </is>
      </c>
      <c r="F107" s="21" t="inlineStr">
        <is>
          <t>-</t>
        </is>
      </c>
      <c r="G107" s="20" t="inlineStr">
        <is>
          <t>대</t>
        </is>
      </c>
      <c r="H107" s="22" t="n">
        <v>5</v>
      </c>
      <c r="I107" s="23" t="n">
        <v>900000</v>
      </c>
      <c r="J107" s="24">
        <f>H107*I107</f>
        <v/>
      </c>
      <c r="K107" s="23">
        <f>ROUND(J107/'05.전제조건'!$C$5,0)</f>
        <v/>
      </c>
      <c r="L107" s="20" t="inlineStr">
        <is>
          <t>본안</t>
        </is>
      </c>
      <c r="M107" s="20" t="inlineStr">
        <is>
          <t>무상(KOICA)</t>
        </is>
      </c>
      <c r="N107" s="21" t="inlineStr">
        <is>
          <t>발정알람 → 수정 → 결과 자동기록</t>
        </is>
      </c>
    </row>
    <row r="108" ht="30" customHeight="1">
      <c r="A108" s="20" t="n">
        <v>104</v>
      </c>
      <c r="B108" s="21" t="inlineStr">
        <is>
          <t>G. 인공수정(A.I.) 기자재</t>
        </is>
      </c>
      <c r="C108" s="21" t="inlineStr">
        <is>
          <t>번식 현장관리</t>
        </is>
      </c>
      <c r="D108" s="21" t="inlineStr">
        <is>
          <t>수정·진료용 보정틀(스탄치온)·이동 카트</t>
        </is>
      </c>
      <c r="E108" s="21" t="inlineStr">
        <is>
          <t>-</t>
        </is>
      </c>
      <c r="F108" s="21" t="inlineStr">
        <is>
          <t>-</t>
        </is>
      </c>
      <c r="G108" s="20" t="inlineStr">
        <is>
          <t>식</t>
        </is>
      </c>
      <c r="H108" s="22" t="n">
        <v>1</v>
      </c>
      <c r="I108" s="23" t="n">
        <v>25000000</v>
      </c>
      <c r="J108" s="24">
        <f>H108*I108</f>
        <v/>
      </c>
      <c r="K108" s="23">
        <f>ROUND(J108/'05.전제조건'!$C$5,0)</f>
        <v/>
      </c>
      <c r="L108" s="20" t="inlineStr">
        <is>
          <t>본안</t>
        </is>
      </c>
      <c r="M108" s="20" t="inlineStr">
        <is>
          <t>무상(KOICA)</t>
        </is>
      </c>
      <c r="N108" s="21" t="inlineStr">
        <is>
          <t>수정·직검·이식 공용</t>
        </is>
      </c>
    </row>
    <row r="109" ht="30" customHeight="1">
      <c r="A109" s="20" t="n">
        <v>105</v>
      </c>
      <c r="B109" s="21" t="inlineStr">
        <is>
          <t>G. 인공수정(A.I.) 기자재</t>
        </is>
      </c>
      <c r="C109" s="21" t="inlineStr">
        <is>
          <t>유전자원</t>
        </is>
      </c>
      <c r="D109" s="21" t="inlineStr">
        <is>
          <t>홀스타인 성감별 정액 초기 도입분</t>
        </is>
      </c>
      <c r="E109" s="21" t="inlineStr">
        <is>
          <t>Sexed semen, 국내산·수입</t>
        </is>
      </c>
      <c r="F109" s="21" t="inlineStr">
        <is>
          <t>-</t>
        </is>
      </c>
      <c r="G109" s="20" t="inlineStr">
        <is>
          <t>str</t>
        </is>
      </c>
      <c r="H109" s="22" t="n">
        <v>500</v>
      </c>
      <c r="I109" s="23" t="n">
        <v>60000</v>
      </c>
      <c r="J109" s="24">
        <f>H109*I109</f>
        <v/>
      </c>
      <c r="K109" s="23">
        <f>ROUND(J109/'05.전제조건'!$C$5,0)</f>
        <v/>
      </c>
      <c r="L109" s="20" t="inlineStr">
        <is>
          <t>본안</t>
        </is>
      </c>
      <c r="M109" s="20" t="inlineStr">
        <is>
          <t>민간(제네틱스·D2O)</t>
        </is>
      </c>
      <c r="N109" s="21" t="inlineStr">
        <is>
          <t>★ 암송아지 생산율 90% 이상. 번식대상 160두 기준 3년 소요량. 기자재가 아닌 유전자원 투입분</t>
        </is>
      </c>
    </row>
    <row r="110" ht="30" customHeight="1">
      <c r="A110" s="27" t="n">
        <v>106</v>
      </c>
      <c r="B110" s="28" t="inlineStr">
        <is>
          <t>H. 수정란이식(ET) 기자재</t>
        </is>
      </c>
      <c r="C110" s="28" t="inlineStr">
        <is>
          <t>수정란 보급 및 이식기술(유량종자 개량 기자재)</t>
        </is>
      </c>
      <c r="D110" s="28" t="inlineStr">
        <is>
          <t>소 수정란 주입기 (ET Gun)</t>
        </is>
      </c>
      <c r="E110" s="28" t="inlineStr">
        <is>
          <t>독일 Minitube 社 제품</t>
        </is>
      </c>
      <c r="F110" s="28" t="inlineStr">
        <is>
          <t>Minitube ET Gun</t>
        </is>
      </c>
      <c r="G110" s="27" t="inlineStr">
        <is>
          <t>개</t>
        </is>
      </c>
      <c r="H110" s="29" t="n">
        <v>8</v>
      </c>
      <c r="I110" s="30" t="n">
        <v>450000</v>
      </c>
      <c r="J110" s="31">
        <f>H110*I110</f>
        <v/>
      </c>
      <c r="K110" s="30">
        <f>ROUND(J110/'05.전제조건'!$C$5,0)</f>
        <v/>
      </c>
      <c r="L110" s="27" t="inlineStr">
        <is>
          <t>본안</t>
        </is>
      </c>
      <c r="M110" s="27" t="inlineStr">
        <is>
          <t>무상(KOICA)</t>
        </is>
      </c>
      <c r="N110" s="28" t="inlineStr">
        <is>
          <t>★ 원본 '소수정란주입기' / '소 수정란 주입기' 반영</t>
        </is>
      </c>
    </row>
    <row r="111" ht="30" customHeight="1">
      <c r="A111" s="27" t="n">
        <v>107</v>
      </c>
      <c r="B111" s="28" t="inlineStr">
        <is>
          <t>H. 수정란이식(ET) 기자재</t>
        </is>
      </c>
      <c r="C111" s="28" t="inlineStr">
        <is>
          <t>수정란 보급 및 이식기술(유량종자 개량 기자재)</t>
        </is>
      </c>
      <c r="D111" s="28" t="inlineStr">
        <is>
          <t>소 수정란 시스 (ET Sheath)</t>
        </is>
      </c>
      <c r="E111" s="28" t="inlineStr">
        <is>
          <t>독일 Minitube 社 제품 / 1box</t>
        </is>
      </c>
      <c r="F111" s="28" t="inlineStr">
        <is>
          <t>Minitube</t>
        </is>
      </c>
      <c r="G111" s="27" t="inlineStr">
        <is>
          <t>box</t>
        </is>
      </c>
      <c r="H111" s="29" t="n">
        <v>8</v>
      </c>
      <c r="I111" s="30" t="n">
        <v>150000</v>
      </c>
      <c r="J111" s="31">
        <f>H111*I111</f>
        <v/>
      </c>
      <c r="K111" s="30">
        <f>ROUND(J111/'05.전제조건'!$C$5,0)</f>
        <v/>
      </c>
      <c r="L111" s="27" t="inlineStr">
        <is>
          <t>본안</t>
        </is>
      </c>
      <c r="M111" s="27" t="inlineStr">
        <is>
          <t>무상(KOICA)</t>
        </is>
      </c>
      <c r="N111" s="28" t="inlineStr">
        <is>
          <t>★ 원본 '소수정란시스' 반영</t>
        </is>
      </c>
    </row>
    <row r="112" ht="30" customHeight="1">
      <c r="A112" s="27" t="n">
        <v>108</v>
      </c>
      <c r="B112" s="28" t="inlineStr">
        <is>
          <t>H. 수정란이식(ET) 기자재</t>
        </is>
      </c>
      <c r="C112" s="28" t="inlineStr">
        <is>
          <t>수정란 보급 및 이식기술(유량종자 개량 기자재)</t>
        </is>
      </c>
      <c r="D112" s="28" t="inlineStr">
        <is>
          <t>채란기 (Flushing Catheter, Foley 2/3-way) 세트</t>
        </is>
      </c>
      <c r="E112" s="28" t="inlineStr">
        <is>
          <t>체내수정란 채란용</t>
        </is>
      </c>
      <c r="F112" s="28" t="inlineStr">
        <is>
          <t>Minitube / IMV</t>
        </is>
      </c>
      <c r="G112" s="27" t="inlineStr">
        <is>
          <t>세트</t>
        </is>
      </c>
      <c r="H112" s="29" t="n">
        <v>3</v>
      </c>
      <c r="I112" s="30" t="n">
        <v>800000</v>
      </c>
      <c r="J112" s="31">
        <f>H112*I112</f>
        <v/>
      </c>
      <c r="K112" s="30">
        <f>ROUND(J112/'05.전제조건'!$C$5,0)</f>
        <v/>
      </c>
      <c r="L112" s="27" t="inlineStr">
        <is>
          <t>본안</t>
        </is>
      </c>
      <c r="M112" s="27" t="inlineStr">
        <is>
          <t>무상(KOICA)</t>
        </is>
      </c>
      <c r="N112" s="28" t="inlineStr">
        <is>
          <t>★ 원본 '채란기' 항목 확정</t>
        </is>
      </c>
    </row>
    <row r="113" ht="30" customHeight="1">
      <c r="A113" s="27" t="n">
        <v>109</v>
      </c>
      <c r="B113" s="28" t="inlineStr">
        <is>
          <t>H. 수정란이식(ET) 기자재</t>
        </is>
      </c>
      <c r="C113" s="28" t="inlineStr">
        <is>
          <t>수정란 보급 및 이식기술(유량종자 개량 기자재)</t>
        </is>
      </c>
      <c r="D113" s="28" t="inlineStr">
        <is>
          <t>채란용 필터 (EmCon Filter)</t>
        </is>
      </c>
      <c r="E113" s="28" t="inlineStr">
        <is>
          <t>1box / 20개</t>
        </is>
      </c>
      <c r="F113" s="28" t="inlineStr">
        <is>
          <t>EmCon</t>
        </is>
      </c>
      <c r="G113" s="27" t="inlineStr">
        <is>
          <t>box</t>
        </is>
      </c>
      <c r="H113" s="29" t="n">
        <v>6</v>
      </c>
      <c r="I113" s="30" t="n">
        <v>350000</v>
      </c>
      <c r="J113" s="31">
        <f>H113*I113</f>
        <v/>
      </c>
      <c r="K113" s="30">
        <f>ROUND(J113/'05.전제조건'!$C$5,0)</f>
        <v/>
      </c>
      <c r="L113" s="27" t="inlineStr">
        <is>
          <t>본안</t>
        </is>
      </c>
      <c r="M113" s="27" t="inlineStr">
        <is>
          <t>무상(KOICA)</t>
        </is>
      </c>
      <c r="N113" s="28" t="inlineStr">
        <is>
          <t>★ 원본 '?' 항목 보완</t>
        </is>
      </c>
    </row>
    <row r="114" ht="30" customHeight="1">
      <c r="A114" s="27" t="n">
        <v>110</v>
      </c>
      <c r="B114" s="28" t="inlineStr">
        <is>
          <t>H. 수정란이식(ET) 기자재</t>
        </is>
      </c>
      <c r="C114" s="28" t="inlineStr">
        <is>
          <t>수정란 보급 및 이식기술(유량종자 개량 기자재)</t>
        </is>
      </c>
      <c r="D114" s="28" t="inlineStr">
        <is>
          <t>채란 회수액·수정란 배지 (1년분)</t>
        </is>
      </c>
      <c r="E114" s="28" t="inlineStr">
        <is>
          <t>Vigro / EmCare 계열</t>
        </is>
      </c>
      <c r="F114" s="28" t="inlineStr">
        <is>
          <t>-</t>
        </is>
      </c>
      <c r="G114" s="27" t="inlineStr">
        <is>
          <t>식</t>
        </is>
      </c>
      <c r="H114" s="29" t="n">
        <v>1</v>
      </c>
      <c r="I114" s="30" t="n">
        <v>20000000</v>
      </c>
      <c r="J114" s="31">
        <f>H114*I114</f>
        <v/>
      </c>
      <c r="K114" s="30">
        <f>ROUND(J114/'05.전제조건'!$C$5,0)</f>
        <v/>
      </c>
      <c r="L114" s="27" t="inlineStr">
        <is>
          <t>본안</t>
        </is>
      </c>
      <c r="M114" s="27" t="inlineStr">
        <is>
          <t>무상(KOICA)</t>
        </is>
      </c>
      <c r="N114" s="28" t="inlineStr">
        <is>
          <t>★ 원본 '?' 항목 보완</t>
        </is>
      </c>
    </row>
    <row r="115" ht="30" customHeight="1">
      <c r="A115" s="27" t="n">
        <v>111</v>
      </c>
      <c r="B115" s="28" t="inlineStr">
        <is>
          <t>H. 수정란이식(ET) 기자재</t>
        </is>
      </c>
      <c r="C115" s="28" t="inlineStr">
        <is>
          <t>수정란 보급 및 이식기술(유량종자 개량 기자재)</t>
        </is>
      </c>
      <c r="D115" s="28" t="inlineStr">
        <is>
          <t>채란용 실리콘 튜브·Y커넥터·주입세트</t>
        </is>
      </c>
      <c r="E115" s="28" t="inlineStr">
        <is>
          <t>-</t>
        </is>
      </c>
      <c r="F115" s="28" t="inlineStr">
        <is>
          <t>-</t>
        </is>
      </c>
      <c r="G115" s="27" t="inlineStr">
        <is>
          <t>식</t>
        </is>
      </c>
      <c r="H115" s="29" t="n">
        <v>1</v>
      </c>
      <c r="I115" s="30" t="n">
        <v>6000000</v>
      </c>
      <c r="J115" s="31">
        <f>H115*I115</f>
        <v/>
      </c>
      <c r="K115" s="30">
        <f>ROUND(J115/'05.전제조건'!$C$5,0)</f>
        <v/>
      </c>
      <c r="L115" s="27" t="inlineStr">
        <is>
          <t>본안</t>
        </is>
      </c>
      <c r="M115" s="27" t="inlineStr">
        <is>
          <t>무상(KOICA)</t>
        </is>
      </c>
      <c r="N115" s="28" t="inlineStr">
        <is>
          <t>★ 원본 '?' 항목 보완</t>
        </is>
      </c>
    </row>
    <row r="116" ht="30" customHeight="1">
      <c r="A116" s="27" t="n">
        <v>112</v>
      </c>
      <c r="B116" s="28" t="inlineStr">
        <is>
          <t>H. 수정란이식(ET) 기자재</t>
        </is>
      </c>
      <c r="C116" s="28" t="inlineStr">
        <is>
          <t>수정란 보급 및 이식기술(유량종자 개량 기자재)</t>
        </is>
      </c>
      <c r="D116" s="28" t="inlineStr">
        <is>
          <t>실체현미경 (Stereo, 10~63배 + 히팅스테이지)</t>
        </is>
      </c>
      <c r="E116" s="28" t="inlineStr">
        <is>
          <t>수정란 검경·등급판정용</t>
        </is>
      </c>
      <c r="F116" s="28" t="inlineStr">
        <is>
          <t>Nikon SMZ / Olympus SZX</t>
        </is>
      </c>
      <c r="G116" s="27" t="inlineStr">
        <is>
          <t>대</t>
        </is>
      </c>
      <c r="H116" s="29" t="n">
        <v>2</v>
      </c>
      <c r="I116" s="30" t="n">
        <v>9000000</v>
      </c>
      <c r="J116" s="31">
        <f>H116*I116</f>
        <v/>
      </c>
      <c r="K116" s="30">
        <f>ROUND(J116/'05.전제조건'!$C$5,0)</f>
        <v/>
      </c>
      <c r="L116" s="27" t="inlineStr">
        <is>
          <t>본안</t>
        </is>
      </c>
      <c r="M116" s="27" t="inlineStr">
        <is>
          <t>무상(KOICA)</t>
        </is>
      </c>
      <c r="N116" s="28" t="inlineStr">
        <is>
          <t>★ 원본 '?' 항목 보완</t>
        </is>
      </c>
    </row>
    <row r="117" ht="30" customHeight="1">
      <c r="A117" s="27" t="n">
        <v>113</v>
      </c>
      <c r="B117" s="28" t="inlineStr">
        <is>
          <t>H. 수정란이식(ET) 기자재</t>
        </is>
      </c>
      <c r="C117" s="28" t="inlineStr">
        <is>
          <t>수정란 보급 및 이식기술(유량종자 개량 기자재)</t>
        </is>
      </c>
      <c r="D117" s="28" t="inlineStr">
        <is>
          <t>수정란 검경용 항온판(Warming Plate)</t>
        </is>
      </c>
      <c r="E117" s="28" t="inlineStr">
        <is>
          <t>37℃ ±0.2</t>
        </is>
      </c>
      <c r="F117" s="28" t="inlineStr">
        <is>
          <t>-</t>
        </is>
      </c>
      <c r="G117" s="27" t="inlineStr">
        <is>
          <t>대</t>
        </is>
      </c>
      <c r="H117" s="29" t="n">
        <v>3</v>
      </c>
      <c r="I117" s="30" t="n">
        <v>2500000</v>
      </c>
      <c r="J117" s="31">
        <f>H117*I117</f>
        <v/>
      </c>
      <c r="K117" s="30">
        <f>ROUND(J117/'05.전제조건'!$C$5,0)</f>
        <v/>
      </c>
      <c r="L117" s="27" t="inlineStr">
        <is>
          <t>본안</t>
        </is>
      </c>
      <c r="M117" s="27" t="inlineStr">
        <is>
          <t>무상(KOICA)</t>
        </is>
      </c>
      <c r="N117" s="28" t="inlineStr">
        <is>
          <t>-</t>
        </is>
      </c>
    </row>
    <row r="118" ht="30" customHeight="1">
      <c r="A118" s="27" t="n">
        <v>114</v>
      </c>
      <c r="B118" s="28" t="inlineStr">
        <is>
          <t>H. 수정란이식(ET) 기자재</t>
        </is>
      </c>
      <c r="C118" s="28" t="inlineStr">
        <is>
          <t>수정란 보급 및 이식기술(유량종자 개량 기자재)</t>
        </is>
      </c>
      <c r="D118" s="28" t="inlineStr">
        <is>
          <t>프로그램 동결기 (Programmable Freezer)</t>
        </is>
      </c>
      <c r="E118" s="28" t="inlineStr">
        <is>
          <t>8스트로, 시딩 자동</t>
        </is>
      </c>
      <c r="F118" s="28" t="inlineStr">
        <is>
          <t>CL-8800i / Freeze Control</t>
        </is>
      </c>
      <c r="G118" s="27" t="inlineStr">
        <is>
          <t>대</t>
        </is>
      </c>
      <c r="H118" s="29" t="n">
        <v>1</v>
      </c>
      <c r="I118" s="30" t="n">
        <v>45000000</v>
      </c>
      <c r="J118" s="31">
        <f>H118*I118</f>
        <v/>
      </c>
      <c r="K118" s="30">
        <f>ROUND(J118/'05.전제조건'!$C$5,0)</f>
        <v/>
      </c>
      <c r="L118" s="27" t="inlineStr">
        <is>
          <t>본안</t>
        </is>
      </c>
      <c r="M118" s="27" t="inlineStr">
        <is>
          <t>무상(KOICA)</t>
        </is>
      </c>
      <c r="N118" s="28" t="inlineStr">
        <is>
          <t>현지 수정란 자체 동결보관 체계 구축</t>
        </is>
      </c>
    </row>
    <row r="119" ht="30" customHeight="1">
      <c r="A119" s="27" t="n">
        <v>115</v>
      </c>
      <c r="B119" s="28" t="inlineStr">
        <is>
          <t>H. 수정란이식(ET) 기자재</t>
        </is>
      </c>
      <c r="C119" s="28" t="inlineStr">
        <is>
          <t>수정란 보급 및 이식기술(유량종자 개량 기자재)</t>
        </is>
      </c>
      <c r="D119" s="28" t="inlineStr">
        <is>
          <t>유리화동결(Vitrification) 키트·기구</t>
        </is>
      </c>
      <c r="E119" s="28" t="inlineStr">
        <is>
          <t>Cryotop / OPS 방식</t>
        </is>
      </c>
      <c r="F119" s="28" t="inlineStr">
        <is>
          <t>-</t>
        </is>
      </c>
      <c r="G119" s="27" t="inlineStr">
        <is>
          <t>식</t>
        </is>
      </c>
      <c r="H119" s="29" t="n">
        <v>1</v>
      </c>
      <c r="I119" s="30" t="n">
        <v>15000000</v>
      </c>
      <c r="J119" s="31">
        <f>H119*I119</f>
        <v/>
      </c>
      <c r="K119" s="30">
        <f>ROUND(J119/'05.전제조건'!$C$5,0)</f>
        <v/>
      </c>
      <c r="L119" s="27" t="inlineStr">
        <is>
          <t>본안</t>
        </is>
      </c>
      <c r="M119" s="27" t="inlineStr">
        <is>
          <t>무상(KOICA)</t>
        </is>
      </c>
      <c r="N119" s="28" t="inlineStr">
        <is>
          <t>-</t>
        </is>
      </c>
    </row>
    <row r="120" ht="30" customHeight="1">
      <c r="A120" s="27" t="n">
        <v>116</v>
      </c>
      <c r="B120" s="28" t="inlineStr">
        <is>
          <t>H. 수정란이식(ET) 기자재</t>
        </is>
      </c>
      <c r="C120" s="28" t="inlineStr">
        <is>
          <t>수정란 보급 및 이식기술(유량종자 개량 기자재)</t>
        </is>
      </c>
      <c r="D120" s="28" t="inlineStr">
        <is>
          <t>이식용 경직장 초음파 (무선)</t>
        </is>
      </c>
      <c r="E120" s="28" t="inlineStr">
        <is>
          <t>수란우 황체 확인용</t>
        </is>
      </c>
      <c r="F120" s="28" t="inlineStr">
        <is>
          <t>-</t>
        </is>
      </c>
      <c r="G120" s="27" t="inlineStr">
        <is>
          <t>대</t>
        </is>
      </c>
      <c r="H120" s="29" t="n">
        <v>2</v>
      </c>
      <c r="I120" s="30" t="n">
        <v>12000000</v>
      </c>
      <c r="J120" s="31">
        <f>H120*I120</f>
        <v/>
      </c>
      <c r="K120" s="30">
        <f>ROUND(J120/'05.전제조건'!$C$5,0)</f>
        <v/>
      </c>
      <c r="L120" s="27" t="inlineStr">
        <is>
          <t>본안</t>
        </is>
      </c>
      <c r="M120" s="27" t="inlineStr">
        <is>
          <t>무상(KOICA)</t>
        </is>
      </c>
      <c r="N120" s="28" t="inlineStr">
        <is>
          <t>수란우 선발 정확도 = 수태율 직결</t>
        </is>
      </c>
    </row>
    <row r="121" ht="30" customHeight="1">
      <c r="A121" s="27" t="n">
        <v>117</v>
      </c>
      <c r="B121" s="28" t="inlineStr">
        <is>
          <t>H. 수정란이식(ET) 기자재</t>
        </is>
      </c>
      <c r="C121" s="28" t="inlineStr">
        <is>
          <t>수정란 보급 및 이식기술(유량종자 개량 기자재)</t>
        </is>
      </c>
      <c r="D121" s="28" t="inlineStr">
        <is>
          <t>이식용 보정틀·이동식 작업대</t>
        </is>
      </c>
      <c r="E121" s="28" t="inlineStr">
        <is>
          <t>-</t>
        </is>
      </c>
      <c r="F121" s="28" t="inlineStr">
        <is>
          <t>-</t>
        </is>
      </c>
      <c r="G121" s="27" t="inlineStr">
        <is>
          <t>식</t>
        </is>
      </c>
      <c r="H121" s="29" t="n">
        <v>1</v>
      </c>
      <c r="I121" s="30" t="n">
        <v>20000000</v>
      </c>
      <c r="J121" s="31">
        <f>H121*I121</f>
        <v/>
      </c>
      <c r="K121" s="30">
        <f>ROUND(J121/'05.전제조건'!$C$5,0)</f>
        <v/>
      </c>
      <c r="L121" s="27" t="inlineStr">
        <is>
          <t>본안</t>
        </is>
      </c>
      <c r="M121" s="27" t="inlineStr">
        <is>
          <t>무상(KOICA)</t>
        </is>
      </c>
      <c r="N121" s="28" t="inlineStr">
        <is>
          <t>-</t>
        </is>
      </c>
    </row>
    <row r="122" ht="30" customHeight="1">
      <c r="A122" s="27" t="n">
        <v>118</v>
      </c>
      <c r="B122" s="28" t="inlineStr">
        <is>
          <t>H. 수정란이식(ET) 기자재</t>
        </is>
      </c>
      <c r="C122" s="28" t="inlineStr">
        <is>
          <t>수정란 보급 및 이식기술(유량종자 개량 기자재)</t>
        </is>
      </c>
      <c r="D122" s="28" t="inlineStr">
        <is>
          <t>수정란 운반용 드라이시퍼 (Dry Shipper)</t>
        </is>
      </c>
      <c r="E122" s="28" t="inlineStr">
        <is>
          <t>국제운송 대응, -190℃ 10일 유지</t>
        </is>
      </c>
      <c r="F122" s="28" t="inlineStr">
        <is>
          <t>MVE Cryoshipper</t>
        </is>
      </c>
      <c r="G122" s="27" t="inlineStr">
        <is>
          <t>대</t>
        </is>
      </c>
      <c r="H122" s="29" t="n">
        <v>2</v>
      </c>
      <c r="I122" s="30" t="n">
        <v>3000000</v>
      </c>
      <c r="J122" s="31">
        <f>H122*I122</f>
        <v/>
      </c>
      <c r="K122" s="30">
        <f>ROUND(J122/'05.전제조건'!$C$5,0)</f>
        <v/>
      </c>
      <c r="L122" s="27" t="inlineStr">
        <is>
          <t>본안</t>
        </is>
      </c>
      <c r="M122" s="27" t="inlineStr">
        <is>
          <t>무상(KOICA)</t>
        </is>
      </c>
      <c r="N122" s="28" t="inlineStr">
        <is>
          <t>★ 한국→우즈벡 수정란 운송 필수 기자재</t>
        </is>
      </c>
    </row>
    <row r="123" ht="30" customHeight="1">
      <c r="A123" s="27" t="n">
        <v>119</v>
      </c>
      <c r="B123" s="28" t="inlineStr">
        <is>
          <t>H. 수정란이식(ET) 기자재</t>
        </is>
      </c>
      <c r="C123" s="28" t="inlineStr">
        <is>
          <t>수정란 보급 및 이식기술(유량종자 개량 기자재)</t>
        </is>
      </c>
      <c r="D123" s="28" t="inlineStr">
        <is>
          <t>발정동기화 호르몬 프로그램 (3년분)</t>
        </is>
      </c>
      <c r="E123" s="28" t="inlineStr">
        <is>
          <t>CIDR, GnRH, PGF2α — 수란우 연 400두 기준</t>
        </is>
      </c>
      <c r="F123" s="28" t="inlineStr">
        <is>
          <t>-</t>
        </is>
      </c>
      <c r="G123" s="27" t="inlineStr">
        <is>
          <t>식</t>
        </is>
      </c>
      <c r="H123" s="29" t="n">
        <v>1</v>
      </c>
      <c r="I123" s="30" t="n">
        <v>50000000</v>
      </c>
      <c r="J123" s="31">
        <f>H123*I123</f>
        <v/>
      </c>
      <c r="K123" s="30">
        <f>ROUND(J123/'05.전제조건'!$C$5,0)</f>
        <v/>
      </c>
      <c r="L123" s="27" t="inlineStr">
        <is>
          <t>본안</t>
        </is>
      </c>
      <c r="M123" s="27" t="inlineStr">
        <is>
          <t>무상(KOICA)</t>
        </is>
      </c>
      <c r="N123" s="28" t="inlineStr">
        <is>
          <t>정시인공수정·정시이식(FTET) 프로토콜 적용</t>
        </is>
      </c>
    </row>
    <row r="124" ht="30" customHeight="1">
      <c r="A124" s="27" t="n">
        <v>120</v>
      </c>
      <c r="B124" s="28" t="inlineStr">
        <is>
          <t>H. 수정란이식(ET) 기자재</t>
        </is>
      </c>
      <c r="C124" s="28" t="inlineStr">
        <is>
          <t>수정란 보급 및 이식기술(유량종자 개량 기자재)</t>
        </is>
      </c>
      <c r="D124" s="28" t="inlineStr">
        <is>
          <t>한국산 홀스타인 성감별 수정란 공급</t>
        </is>
      </c>
      <c r="E124" s="28" t="inlineStr">
        <is>
          <t>Sexed Holstein Embryo, 3년간 600개</t>
        </is>
      </c>
      <c r="F124" s="28" t="inlineStr">
        <is>
          <t>Korea Genetics</t>
        </is>
      </c>
      <c r="G124" s="27" t="inlineStr">
        <is>
          <t>개</t>
        </is>
      </c>
      <c r="H124" s="29" t="n">
        <v>600</v>
      </c>
      <c r="I124" s="30" t="n">
        <v>450000</v>
      </c>
      <c r="J124" s="31">
        <f>H124*I124</f>
        <v/>
      </c>
      <c r="K124" s="30">
        <f>ROUND(J124/'05.전제조건'!$C$5,0)</f>
        <v/>
      </c>
      <c r="L124" s="27" t="inlineStr">
        <is>
          <t>본안</t>
        </is>
      </c>
      <c r="M124" s="27" t="inlineStr">
        <is>
          <t>민간(제네틱스·D2O)</t>
        </is>
      </c>
      <c r="N124" s="34" t="inlineStr">
        <is>
          <t>★★★ 사업의 유전적 핵심. 자체 목장 수란우 + 인근 농가 보급 이식분. 한국 홀스타인 성감별 유제품용 수정란만 대상(한우 유전자원 수출 대상 아님)</t>
        </is>
      </c>
    </row>
    <row r="125" ht="30" customHeight="1">
      <c r="A125" s="27" t="n">
        <v>121</v>
      </c>
      <c r="B125" s="28" t="inlineStr">
        <is>
          <t>H. 수정란이식(ET) 기자재</t>
        </is>
      </c>
      <c r="C125" s="28" t="inlineStr">
        <is>
          <t>수정란 보급 및 이식기술(유량종자 개량 기자재)</t>
        </is>
      </c>
      <c r="D125" s="28" t="inlineStr">
        <is>
          <t>수정란이식 성적관리 시스템 (CowTalk 연동)</t>
        </is>
      </c>
      <c r="E125" s="28" t="inlineStr">
        <is>
          <t>이식-수태-분만-산유 전주기 추적</t>
        </is>
      </c>
      <c r="F125" s="28" t="inlineStr">
        <is>
          <t>CowTalk AI 모듈</t>
        </is>
      </c>
      <c r="G125" s="27" t="inlineStr">
        <is>
          <t>식</t>
        </is>
      </c>
      <c r="H125" s="29" t="n">
        <v>1</v>
      </c>
      <c r="I125" s="30" t="n">
        <v>50000000</v>
      </c>
      <c r="J125" s="31">
        <f>H125*I125</f>
        <v/>
      </c>
      <c r="K125" s="30">
        <f>ROUND(J125/'05.전제조건'!$C$5,0)</f>
        <v/>
      </c>
      <c r="L125" s="27" t="inlineStr">
        <is>
          <t>본안</t>
        </is>
      </c>
      <c r="M125" s="27" t="inlineStr">
        <is>
          <t>민간(제네틱스·D2O)</t>
        </is>
      </c>
      <c r="N125" s="28" t="inlineStr">
        <is>
          <t>★ 개량 성과를 데이터로 증명 → 후속 사업 확장 근거</t>
        </is>
      </c>
    </row>
    <row r="126" ht="30" customHeight="1">
      <c r="A126" s="20" t="n">
        <v>122</v>
      </c>
      <c r="B126" s="21" t="inlineStr">
        <is>
          <t>I. 체외수정란(IVF) 실험실</t>
        </is>
      </c>
      <c r="C126" s="21" t="inlineStr">
        <is>
          <t>실험실 인프라</t>
        </is>
      </c>
      <c r="D126" s="21" t="inlineStr">
        <is>
          <t>클린룸 공조 (Class 10,000)</t>
        </is>
      </c>
      <c r="E126" s="21" t="inlineStr">
        <is>
          <t>HEPA, 양압, VOC 저감, 항온항습 25℃/50%</t>
        </is>
      </c>
      <c r="F126" s="21" t="inlineStr">
        <is>
          <t>-</t>
        </is>
      </c>
      <c r="G126" s="20" t="inlineStr">
        <is>
          <t>식</t>
        </is>
      </c>
      <c r="H126" s="22" t="n">
        <v>1</v>
      </c>
      <c r="I126" s="23" t="n">
        <v>180000000</v>
      </c>
      <c r="J126" s="24">
        <f>H126*I126</f>
        <v/>
      </c>
      <c r="K126" s="23">
        <f>ROUND(J126/'05.전제조건'!$C$5,0)</f>
        <v/>
      </c>
      <c r="L126" s="20" t="inlineStr">
        <is>
          <t>본안</t>
        </is>
      </c>
      <c r="M126" s="20" t="inlineStr">
        <is>
          <t>무상(KOICA)</t>
        </is>
      </c>
      <c r="N126" s="25" t="inlineStr">
        <is>
          <t>★★ 회장님 지시 핵심항목. IVF 성공률의 70%는 공기질에서 결정</t>
        </is>
      </c>
    </row>
    <row r="127" ht="30" customHeight="1">
      <c r="A127" s="20" t="n">
        <v>123</v>
      </c>
      <c r="B127" s="21" t="inlineStr">
        <is>
          <t>I. 체외수정란(IVF) 실험실</t>
        </is>
      </c>
      <c r="C127" s="21" t="inlineStr">
        <is>
          <t>실험실 인프라</t>
        </is>
      </c>
      <c r="D127" s="21" t="inlineStr">
        <is>
          <t>무진동 테이블(제진대)</t>
        </is>
      </c>
      <c r="E127" s="21" t="inlineStr">
        <is>
          <t>현미경·조작기용</t>
        </is>
      </c>
      <c r="F127" s="21" t="inlineStr">
        <is>
          <t>-</t>
        </is>
      </c>
      <c r="G127" s="20" t="inlineStr">
        <is>
          <t>대</t>
        </is>
      </c>
      <c r="H127" s="22" t="n">
        <v>2</v>
      </c>
      <c r="I127" s="23" t="n">
        <v>6000000</v>
      </c>
      <c r="J127" s="24">
        <f>H127*I127</f>
        <v/>
      </c>
      <c r="K127" s="23">
        <f>ROUND(J127/'05.전제조건'!$C$5,0)</f>
        <v/>
      </c>
      <c r="L127" s="20" t="inlineStr">
        <is>
          <t>본안</t>
        </is>
      </c>
      <c r="M127" s="20" t="inlineStr">
        <is>
          <t>무상(KOICA)</t>
        </is>
      </c>
      <c r="N127" s="21" t="inlineStr">
        <is>
          <t>-</t>
        </is>
      </c>
    </row>
    <row r="128" ht="30" customHeight="1">
      <c r="A128" s="20" t="n">
        <v>124</v>
      </c>
      <c r="B128" s="21" t="inlineStr">
        <is>
          <t>I. 체외수정란(IVF) 실험실</t>
        </is>
      </c>
      <c r="C128" s="21" t="inlineStr">
        <is>
          <t>현미경·조작</t>
        </is>
      </c>
      <c r="D128" s="21" t="inlineStr">
        <is>
          <t>도립현미경 (IVF용)</t>
        </is>
      </c>
      <c r="E128" s="21" t="inlineStr">
        <is>
          <t>Hoffman 변조대비, 히팅스테이지 내장</t>
        </is>
      </c>
      <c r="F128" s="21" t="inlineStr">
        <is>
          <t>Olympus IX / Nikon Ti</t>
        </is>
      </c>
      <c r="G128" s="20" t="inlineStr">
        <is>
          <t>대</t>
        </is>
      </c>
      <c r="H128" s="22" t="n">
        <v>1</v>
      </c>
      <c r="I128" s="23" t="n">
        <v>55000000</v>
      </c>
      <c r="J128" s="24">
        <f>H128*I128</f>
        <v/>
      </c>
      <c r="K128" s="23">
        <f>ROUND(J128/'05.전제조건'!$C$5,0)</f>
        <v/>
      </c>
      <c r="L128" s="20" t="inlineStr">
        <is>
          <t>본안</t>
        </is>
      </c>
      <c r="M128" s="20" t="inlineStr">
        <is>
          <t>무상(KOICA)</t>
        </is>
      </c>
      <c r="N128" s="21" t="inlineStr">
        <is>
          <t>-</t>
        </is>
      </c>
    </row>
    <row r="129" ht="30" customHeight="1">
      <c r="A129" s="20" t="n">
        <v>125</v>
      </c>
      <c r="B129" s="21" t="inlineStr">
        <is>
          <t>I. 체외수정란(IVF) 실험실</t>
        </is>
      </c>
      <c r="C129" s="21" t="inlineStr">
        <is>
          <t>현미경·조작</t>
        </is>
      </c>
      <c r="D129" s="21" t="inlineStr">
        <is>
          <t>실체현미경 (IVF 작업용)</t>
        </is>
      </c>
      <c r="E129" s="21" t="inlineStr">
        <is>
          <t>난자 등급판정·세척용</t>
        </is>
      </c>
      <c r="F129" s="21" t="inlineStr">
        <is>
          <t>Nikon SMZ 급</t>
        </is>
      </c>
      <c r="G129" s="20" t="inlineStr">
        <is>
          <t>대</t>
        </is>
      </c>
      <c r="H129" s="22" t="n">
        <v>3</v>
      </c>
      <c r="I129" s="23" t="n">
        <v>9000000</v>
      </c>
      <c r="J129" s="24">
        <f>H129*I129</f>
        <v/>
      </c>
      <c r="K129" s="23">
        <f>ROUND(J129/'05.전제조건'!$C$5,0)</f>
        <v/>
      </c>
      <c r="L129" s="20" t="inlineStr">
        <is>
          <t>본안</t>
        </is>
      </c>
      <c r="M129" s="20" t="inlineStr">
        <is>
          <t>무상(KOICA)</t>
        </is>
      </c>
      <c r="N129" s="21" t="inlineStr">
        <is>
          <t>-</t>
        </is>
      </c>
    </row>
    <row r="130" ht="30" customHeight="1">
      <c r="A130" s="20" t="n">
        <v>126</v>
      </c>
      <c r="B130" s="21" t="inlineStr">
        <is>
          <t>I. 체외수정란(IVF) 실험실</t>
        </is>
      </c>
      <c r="C130" s="21" t="inlineStr">
        <is>
          <t>현미경·조작</t>
        </is>
      </c>
      <c r="D130" s="21" t="inlineStr">
        <is>
          <t>[옵션] 마이크로매니퓰레이터 (ICSI·투명대 조작)</t>
        </is>
      </c>
      <c r="E130" s="21" t="inlineStr">
        <is>
          <t>인젝터·홀딩 2축</t>
        </is>
      </c>
      <c r="F130" s="21" t="inlineStr">
        <is>
          <t>-</t>
        </is>
      </c>
      <c r="G130" s="20" t="inlineStr">
        <is>
          <t>식</t>
        </is>
      </c>
      <c r="H130" s="22" t="n">
        <v>1</v>
      </c>
      <c r="I130" s="23" t="n">
        <v>90000000</v>
      </c>
      <c r="J130" s="24">
        <f>H130*I130</f>
        <v/>
      </c>
      <c r="K130" s="23">
        <f>ROUND(J130/'05.전제조건'!$C$5,0)</f>
        <v/>
      </c>
      <c r="L130" s="33" t="inlineStr">
        <is>
          <t>옵션</t>
        </is>
      </c>
      <c r="M130" s="20" t="inlineStr">
        <is>
          <t>무상(KOICA)</t>
        </is>
      </c>
      <c r="N130" s="21" t="inlineStr">
        <is>
          <t>2단계 고도화 시 도입</t>
        </is>
      </c>
    </row>
    <row r="131" ht="30" customHeight="1">
      <c r="A131" s="20" t="n">
        <v>127</v>
      </c>
      <c r="B131" s="21" t="inlineStr">
        <is>
          <t>I. 체외수정란(IVF) 실험실</t>
        </is>
      </c>
      <c r="C131" s="21" t="inlineStr">
        <is>
          <t>배양</t>
        </is>
      </c>
      <c r="D131" s="21" t="inlineStr">
        <is>
          <t>CO2 인큐베이터 (대용량)</t>
        </is>
      </c>
      <c r="E131" s="21" t="inlineStr">
        <is>
          <t>150L, CO2 자동제어, HEPA</t>
        </is>
      </c>
      <c r="F131" s="21" t="inlineStr">
        <is>
          <t>-</t>
        </is>
      </c>
      <c r="G131" s="20" t="inlineStr">
        <is>
          <t>대</t>
        </is>
      </c>
      <c r="H131" s="22" t="n">
        <v>2</v>
      </c>
      <c r="I131" s="23" t="n">
        <v>20000000</v>
      </c>
      <c r="J131" s="24">
        <f>H131*I131</f>
        <v/>
      </c>
      <c r="K131" s="23">
        <f>ROUND(J131/'05.전제조건'!$C$5,0)</f>
        <v/>
      </c>
      <c r="L131" s="20" t="inlineStr">
        <is>
          <t>본안</t>
        </is>
      </c>
      <c r="M131" s="20" t="inlineStr">
        <is>
          <t>무상(KOICA)</t>
        </is>
      </c>
      <c r="N131" s="21" t="inlineStr">
        <is>
          <t>-</t>
        </is>
      </c>
    </row>
    <row r="132" ht="30" customHeight="1">
      <c r="A132" s="20" t="n">
        <v>128</v>
      </c>
      <c r="B132" s="21" t="inlineStr">
        <is>
          <t>I. 체외수정란(IVF) 실험실</t>
        </is>
      </c>
      <c r="C132" s="21" t="inlineStr">
        <is>
          <t>배양</t>
        </is>
      </c>
      <c r="D132" s="21" t="inlineStr">
        <is>
          <t>트리가스 인큐베이터 (O2/CO2/N2)</t>
        </is>
      </c>
      <c r="E132" s="21" t="inlineStr">
        <is>
          <t>저산소(5% O2) 배양 — 배반포율 향상</t>
        </is>
      </c>
      <c r="F132" s="21" t="inlineStr">
        <is>
          <t>-</t>
        </is>
      </c>
      <c r="G132" s="20" t="inlineStr">
        <is>
          <t>대</t>
        </is>
      </c>
      <c r="H132" s="22" t="n">
        <v>2</v>
      </c>
      <c r="I132" s="23" t="n">
        <v>28000000</v>
      </c>
      <c r="J132" s="24">
        <f>H132*I132</f>
        <v/>
      </c>
      <c r="K132" s="23">
        <f>ROUND(J132/'05.전제조건'!$C$5,0)</f>
        <v/>
      </c>
      <c r="L132" s="20" t="inlineStr">
        <is>
          <t>본안</t>
        </is>
      </c>
      <c r="M132" s="20" t="inlineStr">
        <is>
          <t>무상(KOICA)</t>
        </is>
      </c>
      <c r="N132" s="21" t="inlineStr">
        <is>
          <t>★ 소 IVF 배반포율 개선 핵심 장비</t>
        </is>
      </c>
    </row>
    <row r="133" ht="30" customHeight="1">
      <c r="A133" s="20" t="n">
        <v>129</v>
      </c>
      <c r="B133" s="21" t="inlineStr">
        <is>
          <t>I. 체외수정란(IVF) 실험실</t>
        </is>
      </c>
      <c r="C133" s="21" t="inlineStr">
        <is>
          <t>배양</t>
        </is>
      </c>
      <c r="D133" s="21" t="inlineStr">
        <is>
          <t>벤치탑 인큐베이터 (소형 다챔버)</t>
        </is>
      </c>
      <c r="E133" s="21" t="inlineStr">
        <is>
          <t>챔버별 독립 제어</t>
        </is>
      </c>
      <c r="F133" s="21" t="inlineStr">
        <is>
          <t>K-System 급</t>
        </is>
      </c>
      <c r="G133" s="20" t="inlineStr">
        <is>
          <t>대</t>
        </is>
      </c>
      <c r="H133" s="22" t="n">
        <v>2</v>
      </c>
      <c r="I133" s="23" t="n">
        <v>18000000</v>
      </c>
      <c r="J133" s="24">
        <f>H133*I133</f>
        <v/>
      </c>
      <c r="K133" s="23">
        <f>ROUND(J133/'05.전제조건'!$C$5,0)</f>
        <v/>
      </c>
      <c r="L133" s="20" t="inlineStr">
        <is>
          <t>본안</t>
        </is>
      </c>
      <c r="M133" s="20" t="inlineStr">
        <is>
          <t>무상(KOICA)</t>
        </is>
      </c>
      <c r="N133" s="21" t="inlineStr">
        <is>
          <t>-</t>
        </is>
      </c>
    </row>
    <row r="134" ht="30" customHeight="1">
      <c r="A134" s="20" t="n">
        <v>130</v>
      </c>
      <c r="B134" s="21" t="inlineStr">
        <is>
          <t>I. 체외수정란(IVF) 실험실</t>
        </is>
      </c>
      <c r="C134" s="21" t="inlineStr">
        <is>
          <t>배양</t>
        </is>
      </c>
      <c r="D134" s="21" t="inlineStr">
        <is>
          <t>[옵션] 타임랩스 배양기</t>
        </is>
      </c>
      <c r="E134" s="21" t="inlineStr">
        <is>
          <t>배아 발달 연속관찰·AI 등급판정 연계</t>
        </is>
      </c>
      <c r="F134" s="21" t="inlineStr">
        <is>
          <t>-</t>
        </is>
      </c>
      <c r="G134" s="20" t="inlineStr">
        <is>
          <t>대</t>
        </is>
      </c>
      <c r="H134" s="22" t="n">
        <v>1</v>
      </c>
      <c r="I134" s="23" t="n">
        <v>150000000</v>
      </c>
      <c r="J134" s="24">
        <f>H134*I134</f>
        <v/>
      </c>
      <c r="K134" s="23">
        <f>ROUND(J134/'05.전제조건'!$C$5,0)</f>
        <v/>
      </c>
      <c r="L134" s="33" t="inlineStr">
        <is>
          <t>옵션</t>
        </is>
      </c>
      <c r="M134" s="20" t="inlineStr">
        <is>
          <t>무상(KOICA)</t>
        </is>
      </c>
      <c r="N134" s="21" t="inlineStr">
        <is>
          <t>CowTalk AI 이미지 학습 데이터 확보용 — 연구 고도화 단계</t>
        </is>
      </c>
    </row>
    <row r="135" ht="30" customHeight="1">
      <c r="A135" s="20" t="n">
        <v>131</v>
      </c>
      <c r="B135" s="21" t="inlineStr">
        <is>
          <t>I. 체외수정란(IVF) 실험실</t>
        </is>
      </c>
      <c r="C135" s="21" t="inlineStr">
        <is>
          <t>배양</t>
        </is>
      </c>
      <c r="D135" s="21" t="inlineStr">
        <is>
          <t>클린벤치 (수평층류, 히팅스테이지 내장)</t>
        </is>
      </c>
      <c r="E135" s="21" t="inlineStr">
        <is>
          <t>-</t>
        </is>
      </c>
      <c r="F135" s="21" t="inlineStr">
        <is>
          <t>-</t>
        </is>
      </c>
      <c r="G135" s="20" t="inlineStr">
        <is>
          <t>대</t>
        </is>
      </c>
      <c r="H135" s="22" t="n">
        <v>3</v>
      </c>
      <c r="I135" s="23" t="n">
        <v>12000000</v>
      </c>
      <c r="J135" s="24">
        <f>H135*I135</f>
        <v/>
      </c>
      <c r="K135" s="23">
        <f>ROUND(J135/'05.전제조건'!$C$5,0)</f>
        <v/>
      </c>
      <c r="L135" s="20" t="inlineStr">
        <is>
          <t>본안</t>
        </is>
      </c>
      <c r="M135" s="20" t="inlineStr">
        <is>
          <t>무상(KOICA)</t>
        </is>
      </c>
      <c r="N135" s="21" t="inlineStr">
        <is>
          <t>-</t>
        </is>
      </c>
    </row>
    <row r="136" ht="30" customHeight="1">
      <c r="A136" s="20" t="n">
        <v>132</v>
      </c>
      <c r="B136" s="21" t="inlineStr">
        <is>
          <t>I. 체외수정란(IVF) 실험실</t>
        </is>
      </c>
      <c r="C136" s="21" t="inlineStr">
        <is>
          <t>난자채취(OPU)</t>
        </is>
      </c>
      <c r="D136" s="21" t="inlineStr">
        <is>
          <t>OPU 초음파 + 전용 프로브·가이드 세트</t>
        </is>
      </c>
      <c r="E136" s="21" t="inlineStr">
        <is>
          <t>경질 OPU 프로브, 17G 니들</t>
        </is>
      </c>
      <c r="F136" s="21" t="inlineStr">
        <is>
          <t>WTA / Esaote 급</t>
        </is>
      </c>
      <c r="G136" s="20" t="inlineStr">
        <is>
          <t>세트</t>
        </is>
      </c>
      <c r="H136" s="22" t="n">
        <v>2</v>
      </c>
      <c r="I136" s="23" t="n">
        <v>45000000</v>
      </c>
      <c r="J136" s="24">
        <f>H136*I136</f>
        <v/>
      </c>
      <c r="K136" s="23">
        <f>ROUND(J136/'05.전제조건'!$C$5,0)</f>
        <v/>
      </c>
      <c r="L136" s="20" t="inlineStr">
        <is>
          <t>본안</t>
        </is>
      </c>
      <c r="M136" s="20" t="inlineStr">
        <is>
          <t>무상(KOICA)</t>
        </is>
      </c>
      <c r="N136" s="21" t="inlineStr">
        <is>
          <t>★ 생체 난자채취 = 우수 공혈우 반복 활용의 전제</t>
        </is>
      </c>
    </row>
    <row r="137" ht="30" customHeight="1">
      <c r="A137" s="20" t="n">
        <v>133</v>
      </c>
      <c r="B137" s="21" t="inlineStr">
        <is>
          <t>I. 체외수정란(IVF) 실험실</t>
        </is>
      </c>
      <c r="C137" s="21" t="inlineStr">
        <is>
          <t>난자채취(OPU)</t>
        </is>
      </c>
      <c r="D137" s="21" t="inlineStr">
        <is>
          <t>난포액 흡인 진공펌프·필터·튜브</t>
        </is>
      </c>
      <c r="E137" s="21" t="inlineStr">
        <is>
          <t>정밀 압력제어</t>
        </is>
      </c>
      <c r="F137" s="21" t="inlineStr">
        <is>
          <t>-</t>
        </is>
      </c>
      <c r="G137" s="20" t="inlineStr">
        <is>
          <t>식</t>
        </is>
      </c>
      <c r="H137" s="22" t="n">
        <v>1</v>
      </c>
      <c r="I137" s="23" t="n">
        <v>15000000</v>
      </c>
      <c r="J137" s="24">
        <f>H137*I137</f>
        <v/>
      </c>
      <c r="K137" s="23">
        <f>ROUND(J137/'05.전제조건'!$C$5,0)</f>
        <v/>
      </c>
      <c r="L137" s="20" t="inlineStr">
        <is>
          <t>본안</t>
        </is>
      </c>
      <c r="M137" s="20" t="inlineStr">
        <is>
          <t>무상(KOICA)</t>
        </is>
      </c>
      <c r="N137" s="21" t="inlineStr">
        <is>
          <t>-</t>
        </is>
      </c>
    </row>
    <row r="138" ht="30" customHeight="1">
      <c r="A138" s="20" t="n">
        <v>134</v>
      </c>
      <c r="B138" s="21" t="inlineStr">
        <is>
          <t>I. 체외수정란(IVF) 실험실</t>
        </is>
      </c>
      <c r="C138" s="21" t="inlineStr">
        <is>
          <t>분석·계측</t>
        </is>
      </c>
      <c r="D138" s="21" t="inlineStr">
        <is>
          <t>원심분리기 (냉장형)</t>
        </is>
      </c>
      <c r="E138" s="21" t="inlineStr">
        <is>
          <t>-</t>
        </is>
      </c>
      <c r="F138" s="21" t="inlineStr">
        <is>
          <t>-</t>
        </is>
      </c>
      <c r="G138" s="20" t="inlineStr">
        <is>
          <t>대</t>
        </is>
      </c>
      <c r="H138" s="22" t="n">
        <v>2</v>
      </c>
      <c r="I138" s="23" t="n">
        <v>8000000</v>
      </c>
      <c r="J138" s="24">
        <f>H138*I138</f>
        <v/>
      </c>
      <c r="K138" s="23">
        <f>ROUND(J138/'05.전제조건'!$C$5,0)</f>
        <v/>
      </c>
      <c r="L138" s="20" t="inlineStr">
        <is>
          <t>본안</t>
        </is>
      </c>
      <c r="M138" s="20" t="inlineStr">
        <is>
          <t>무상(KOICA)</t>
        </is>
      </c>
      <c r="N138" s="21" t="inlineStr">
        <is>
          <t>-</t>
        </is>
      </c>
    </row>
    <row r="139" ht="30" customHeight="1">
      <c r="A139" s="20" t="n">
        <v>135</v>
      </c>
      <c r="B139" s="21" t="inlineStr">
        <is>
          <t>I. 체외수정란(IVF) 실험실</t>
        </is>
      </c>
      <c r="C139" s="21" t="inlineStr">
        <is>
          <t>분석·계측</t>
        </is>
      </c>
      <c r="D139" s="21" t="inlineStr">
        <is>
          <t>오스몰미터·pH미터·정밀저울(0.1mg)</t>
        </is>
      </c>
      <c r="E139" s="21" t="inlineStr">
        <is>
          <t>배지 품질관리 필수 3종</t>
        </is>
      </c>
      <c r="F139" s="21" t="inlineStr">
        <is>
          <t>-</t>
        </is>
      </c>
      <c r="G139" s="20" t="inlineStr">
        <is>
          <t>식</t>
        </is>
      </c>
      <c r="H139" s="22" t="n">
        <v>1</v>
      </c>
      <c r="I139" s="23" t="n">
        <v>25000000</v>
      </c>
      <c r="J139" s="24">
        <f>H139*I139</f>
        <v/>
      </c>
      <c r="K139" s="23">
        <f>ROUND(J139/'05.전제조건'!$C$5,0)</f>
        <v/>
      </c>
      <c r="L139" s="20" t="inlineStr">
        <is>
          <t>본안</t>
        </is>
      </c>
      <c r="M139" s="20" t="inlineStr">
        <is>
          <t>무상(KOICA)</t>
        </is>
      </c>
      <c r="N139" s="21" t="inlineStr">
        <is>
          <t>-</t>
        </is>
      </c>
    </row>
    <row r="140" ht="30" customHeight="1">
      <c r="A140" s="20" t="n">
        <v>136</v>
      </c>
      <c r="B140" s="21" t="inlineStr">
        <is>
          <t>I. 체외수정란(IVF) 실험실</t>
        </is>
      </c>
      <c r="C140" s="21" t="inlineStr">
        <is>
          <t>분석·계측</t>
        </is>
      </c>
      <c r="D140" s="21" t="inlineStr">
        <is>
          <t>초순수 제조장치 (Type I)</t>
        </is>
      </c>
      <c r="E140" s="21" t="inlineStr">
        <is>
          <t>배지 제조용</t>
        </is>
      </c>
      <c r="F140" s="21" t="inlineStr">
        <is>
          <t>-</t>
        </is>
      </c>
      <c r="G140" s="20" t="inlineStr">
        <is>
          <t>대</t>
        </is>
      </c>
      <c r="H140" s="22" t="n">
        <v>1</v>
      </c>
      <c r="I140" s="23" t="n">
        <v>18000000</v>
      </c>
      <c r="J140" s="24">
        <f>H140*I140</f>
        <v/>
      </c>
      <c r="K140" s="23">
        <f>ROUND(J140/'05.전제조건'!$C$5,0)</f>
        <v/>
      </c>
      <c r="L140" s="20" t="inlineStr">
        <is>
          <t>본안</t>
        </is>
      </c>
      <c r="M140" s="20" t="inlineStr">
        <is>
          <t>무상(KOICA)</t>
        </is>
      </c>
      <c r="N140" s="21" t="inlineStr">
        <is>
          <t>-</t>
        </is>
      </c>
    </row>
    <row r="141" ht="30" customHeight="1">
      <c r="A141" s="20" t="n">
        <v>137</v>
      </c>
      <c r="B141" s="21" t="inlineStr">
        <is>
          <t>I. 체외수정란(IVF) 실험실</t>
        </is>
      </c>
      <c r="C141" s="21" t="inlineStr">
        <is>
          <t>분석·계측</t>
        </is>
      </c>
      <c r="D141" s="21" t="inlineStr">
        <is>
          <t>항온수조·핫플레이트·볼텍스·마이크로피펫 세트</t>
        </is>
      </c>
      <c r="E141" s="21" t="inlineStr">
        <is>
          <t>-</t>
        </is>
      </c>
      <c r="F141" s="21" t="inlineStr">
        <is>
          <t>-</t>
        </is>
      </c>
      <c r="G141" s="20" t="inlineStr">
        <is>
          <t>식</t>
        </is>
      </c>
      <c r="H141" s="22" t="n">
        <v>1</v>
      </c>
      <c r="I141" s="23" t="n">
        <v>20000000</v>
      </c>
      <c r="J141" s="24">
        <f>H141*I141</f>
        <v/>
      </c>
      <c r="K141" s="23">
        <f>ROUND(J141/'05.전제조건'!$C$5,0)</f>
        <v/>
      </c>
      <c r="L141" s="20" t="inlineStr">
        <is>
          <t>본안</t>
        </is>
      </c>
      <c r="M141" s="20" t="inlineStr">
        <is>
          <t>무상(KOICA)</t>
        </is>
      </c>
      <c r="N141" s="21" t="inlineStr">
        <is>
          <t>-</t>
        </is>
      </c>
    </row>
    <row r="142" ht="30" customHeight="1">
      <c r="A142" s="20" t="n">
        <v>138</v>
      </c>
      <c r="B142" s="21" t="inlineStr">
        <is>
          <t>I. 체외수정란(IVF) 실험실</t>
        </is>
      </c>
      <c r="C142" s="21" t="inlineStr">
        <is>
          <t>보관</t>
        </is>
      </c>
      <c r="D142" s="21" t="inlineStr">
        <is>
          <t>냉장고(2~8℃)·냉동고(-20℃)·초저온냉동고(-80℃)</t>
        </is>
      </c>
      <c r="E142" s="21" t="inlineStr">
        <is>
          <t>배지·시약·시료 보관</t>
        </is>
      </c>
      <c r="F142" s="21" t="inlineStr">
        <is>
          <t>-</t>
        </is>
      </c>
      <c r="G142" s="20" t="inlineStr">
        <is>
          <t>식</t>
        </is>
      </c>
      <c r="H142" s="22" t="n">
        <v>1</v>
      </c>
      <c r="I142" s="23" t="n">
        <v>45000000</v>
      </c>
      <c r="J142" s="24">
        <f>H142*I142</f>
        <v/>
      </c>
      <c r="K142" s="23">
        <f>ROUND(J142/'05.전제조건'!$C$5,0)</f>
        <v/>
      </c>
      <c r="L142" s="20" t="inlineStr">
        <is>
          <t>본안</t>
        </is>
      </c>
      <c r="M142" s="20" t="inlineStr">
        <is>
          <t>무상(KOICA)</t>
        </is>
      </c>
      <c r="N142" s="21" t="inlineStr">
        <is>
          <t>-</t>
        </is>
      </c>
    </row>
    <row r="143" ht="30" customHeight="1">
      <c r="A143" s="20" t="n">
        <v>139</v>
      </c>
      <c r="B143" s="21" t="inlineStr">
        <is>
          <t>I. 체외수정란(IVF) 실험실</t>
        </is>
      </c>
      <c r="C143" s="21" t="inlineStr">
        <is>
          <t>보관</t>
        </is>
      </c>
      <c r="D143" s="21" t="inlineStr">
        <is>
          <t>프로그램 동결기 (IVF 전용·예비기)</t>
        </is>
      </c>
      <c r="E143" s="21" t="inlineStr">
        <is>
          <t>-</t>
        </is>
      </c>
      <c r="F143" s="21" t="inlineStr">
        <is>
          <t>-</t>
        </is>
      </c>
      <c r="G143" s="20" t="inlineStr">
        <is>
          <t>대</t>
        </is>
      </c>
      <c r="H143" s="22" t="n">
        <v>1</v>
      </c>
      <c r="I143" s="23" t="n">
        <v>45000000</v>
      </c>
      <c r="J143" s="24">
        <f>H143*I143</f>
        <v/>
      </c>
      <c r="K143" s="23">
        <f>ROUND(J143/'05.전제조건'!$C$5,0)</f>
        <v/>
      </c>
      <c r="L143" s="20" t="inlineStr">
        <is>
          <t>본안</t>
        </is>
      </c>
      <c r="M143" s="20" t="inlineStr">
        <is>
          <t>무상(KOICA)</t>
        </is>
      </c>
      <c r="N143" s="21" t="inlineStr">
        <is>
          <t>H군 동결기와 이중화</t>
        </is>
      </c>
    </row>
    <row r="144" ht="30" customHeight="1">
      <c r="A144" s="20" t="n">
        <v>140</v>
      </c>
      <c r="B144" s="21" t="inlineStr">
        <is>
          <t>I. 체외수정란(IVF) 실험실</t>
        </is>
      </c>
      <c r="C144" s="21" t="inlineStr">
        <is>
          <t>보관</t>
        </is>
      </c>
      <c r="D144" s="21" t="inlineStr">
        <is>
          <t>LN2 대용량 저장탱크 (XC-47 + 벌크 175L)</t>
        </is>
      </c>
      <c r="E144" s="21" t="inlineStr">
        <is>
          <t>-</t>
        </is>
      </c>
      <c r="F144" s="21" t="inlineStr">
        <is>
          <t>-</t>
        </is>
      </c>
      <c r="G144" s="20" t="inlineStr">
        <is>
          <t>식</t>
        </is>
      </c>
      <c r="H144" s="22" t="n">
        <v>1</v>
      </c>
      <c r="I144" s="23" t="n">
        <v>40000000</v>
      </c>
      <c r="J144" s="24">
        <f>H144*I144</f>
        <v/>
      </c>
      <c r="K144" s="23">
        <f>ROUND(J144/'05.전제조건'!$C$5,0)</f>
        <v/>
      </c>
      <c r="L144" s="20" t="inlineStr">
        <is>
          <t>본안</t>
        </is>
      </c>
      <c r="M144" s="20" t="inlineStr">
        <is>
          <t>무상(KOICA)</t>
        </is>
      </c>
      <c r="N144" s="21" t="inlineStr">
        <is>
          <t>-</t>
        </is>
      </c>
    </row>
    <row r="145" ht="30" customHeight="1">
      <c r="A145" s="20" t="n">
        <v>141</v>
      </c>
      <c r="B145" s="21" t="inlineStr">
        <is>
          <t>I. 체외수정란(IVF) 실험실</t>
        </is>
      </c>
      <c r="C145" s="21" t="inlineStr">
        <is>
          <t>소모품</t>
        </is>
      </c>
      <c r="D145" s="21" t="inlineStr">
        <is>
          <t>배지·소모품 (IVM/IVF/IVC, 미네랄오일, 디쉬, 피펫, 스트로) 1년분</t>
        </is>
      </c>
      <c r="E145" s="21" t="inlineStr">
        <is>
          <t>체외수정란 연 3,000개 생산 기준</t>
        </is>
      </c>
      <c r="F145" s="21" t="inlineStr">
        <is>
          <t>-</t>
        </is>
      </c>
      <c r="G145" s="20" t="inlineStr">
        <is>
          <t>식</t>
        </is>
      </c>
      <c r="H145" s="22" t="n">
        <v>1</v>
      </c>
      <c r="I145" s="23" t="n">
        <v>80000000</v>
      </c>
      <c r="J145" s="24">
        <f>H145*I145</f>
        <v/>
      </c>
      <c r="K145" s="23">
        <f>ROUND(J145/'05.전제조건'!$C$5,0)</f>
        <v/>
      </c>
      <c r="L145" s="20" t="inlineStr">
        <is>
          <t>본안</t>
        </is>
      </c>
      <c r="M145" s="20" t="inlineStr">
        <is>
          <t>무상(KOICA)</t>
        </is>
      </c>
      <c r="N145" s="21" t="inlineStr">
        <is>
          <t>★ 소모품 안정 공급망이 실험실 지속운영의 관건</t>
        </is>
      </c>
    </row>
    <row r="146" ht="30" customHeight="1">
      <c r="A146" s="20" t="n">
        <v>142</v>
      </c>
      <c r="B146" s="21" t="inlineStr">
        <is>
          <t>I. 체외수정란(IVF) 실험실</t>
        </is>
      </c>
      <c r="C146" s="21" t="inlineStr">
        <is>
          <t>실험실 인프라</t>
        </is>
      </c>
      <c r="D146" s="21" t="inlineStr">
        <is>
          <t>실험실 가구(작업대·수납·안전캐비닛·세척설비)</t>
        </is>
      </c>
      <c r="E146" s="21" t="inlineStr">
        <is>
          <t>-</t>
        </is>
      </c>
      <c r="F146" s="21" t="inlineStr">
        <is>
          <t>-</t>
        </is>
      </c>
      <c r="G146" s="20" t="inlineStr">
        <is>
          <t>식</t>
        </is>
      </c>
      <c r="H146" s="22" t="n">
        <v>1</v>
      </c>
      <c r="I146" s="23" t="n">
        <v>60000000</v>
      </c>
      <c r="J146" s="24">
        <f>H146*I146</f>
        <v/>
      </c>
      <c r="K146" s="23">
        <f>ROUND(J146/'05.전제조건'!$C$5,0)</f>
        <v/>
      </c>
      <c r="L146" s="20" t="inlineStr">
        <is>
          <t>본안</t>
        </is>
      </c>
      <c r="M146" s="20" t="inlineStr">
        <is>
          <t>무상(KOICA)</t>
        </is>
      </c>
      <c r="N146" s="21" t="inlineStr">
        <is>
          <t>-</t>
        </is>
      </c>
    </row>
    <row r="147" ht="30" customHeight="1">
      <c r="A147" s="20" t="n">
        <v>143</v>
      </c>
      <c r="B147" s="21" t="inlineStr">
        <is>
          <t>I. 체외수정란(IVF) 실험실</t>
        </is>
      </c>
      <c r="C147" s="21" t="inlineStr">
        <is>
          <t>실험실 인프라</t>
        </is>
      </c>
      <c r="D147" s="21" t="inlineStr">
        <is>
          <t>실험실 UPS + 비상발전 연동</t>
        </is>
      </c>
      <c r="E147" s="21" t="inlineStr">
        <is>
          <t>인큐베이터·냉동고 무정전</t>
        </is>
      </c>
      <c r="F147" s="21" t="inlineStr">
        <is>
          <t>-</t>
        </is>
      </c>
      <c r="G147" s="20" t="inlineStr">
        <is>
          <t>식</t>
        </is>
      </c>
      <c r="H147" s="22" t="n">
        <v>1</v>
      </c>
      <c r="I147" s="23" t="n">
        <v>50000000</v>
      </c>
      <c r="J147" s="24">
        <f>H147*I147</f>
        <v/>
      </c>
      <c r="K147" s="23">
        <f>ROUND(J147/'05.전제조건'!$C$5,0)</f>
        <v/>
      </c>
      <c r="L147" s="20" t="inlineStr">
        <is>
          <t>본안</t>
        </is>
      </c>
      <c r="M147" s="20" t="inlineStr">
        <is>
          <t>무상(KOICA)</t>
        </is>
      </c>
      <c r="N147" s="21" t="inlineStr">
        <is>
          <t>★ 정전 1회 = 배양 전량 손실</t>
        </is>
      </c>
    </row>
    <row r="148" ht="30" customHeight="1">
      <c r="A148" s="20" t="n">
        <v>144</v>
      </c>
      <c r="B148" s="21" t="inlineStr">
        <is>
          <t>I. 체외수정란(IVF) 실험실</t>
        </is>
      </c>
      <c r="C148" s="21" t="inlineStr">
        <is>
          <t>실험실 인프라</t>
        </is>
      </c>
      <c r="D148" s="21" t="inlineStr">
        <is>
          <t>인큐베이터·LN2 원격 감시·알람 (CowTalk 연동)</t>
        </is>
      </c>
      <c r="E148" s="21" t="inlineStr">
        <is>
          <t>온도·CO2·LN2 레벨 이상 시 즉시 알림</t>
        </is>
      </c>
      <c r="F148" s="21" t="inlineStr">
        <is>
          <t>-</t>
        </is>
      </c>
      <c r="G148" s="20" t="inlineStr">
        <is>
          <t>식</t>
        </is>
      </c>
      <c r="H148" s="22" t="n">
        <v>1</v>
      </c>
      <c r="I148" s="23" t="n">
        <v>30000000</v>
      </c>
      <c r="J148" s="24">
        <f>H148*I148</f>
        <v/>
      </c>
      <c r="K148" s="23">
        <f>ROUND(J148/'05.전제조건'!$C$5,0)</f>
        <v/>
      </c>
      <c r="L148" s="20" t="inlineStr">
        <is>
          <t>본안</t>
        </is>
      </c>
      <c r="M148" s="20" t="inlineStr">
        <is>
          <t>민간(제네틱스·D2O)</t>
        </is>
      </c>
      <c r="N148" s="21" t="inlineStr">
        <is>
          <t>★ Eco-BIT 플랫폼과 실험실 연결 — 차별화 포인트</t>
        </is>
      </c>
    </row>
    <row r="149" ht="30" customHeight="1">
      <c r="A149" s="20" t="n">
        <v>145</v>
      </c>
      <c r="B149" s="21" t="inlineStr">
        <is>
          <t>I. 체외수정란(IVF) 실험실</t>
        </is>
      </c>
      <c r="C149" s="21" t="inlineStr">
        <is>
          <t>유전체</t>
        </is>
      </c>
      <c r="D149" s="21" t="inlineStr">
        <is>
          <t>유전체 분석 시료 전처리 기자재 (DNA 추출·PCR)</t>
        </is>
      </c>
      <c r="E149" s="21" t="inlineStr">
        <is>
          <t>유전능력 평가·친자확인</t>
        </is>
      </c>
      <c r="F149" s="21" t="inlineStr">
        <is>
          <t>-</t>
        </is>
      </c>
      <c r="G149" s="20" t="inlineStr">
        <is>
          <t>식</t>
        </is>
      </c>
      <c r="H149" s="22" t="n">
        <v>1</v>
      </c>
      <c r="I149" s="23" t="n">
        <v>70000000</v>
      </c>
      <c r="J149" s="24">
        <f>H149*I149</f>
        <v/>
      </c>
      <c r="K149" s="23">
        <f>ROUND(J149/'05.전제조건'!$C$5,0)</f>
        <v/>
      </c>
      <c r="L149" s="20" t="inlineStr">
        <is>
          <t>본안</t>
        </is>
      </c>
      <c r="M149" s="20" t="inlineStr">
        <is>
          <t>무상(KOICA)</t>
        </is>
      </c>
      <c r="N149" s="21" t="inlineStr">
        <is>
          <t>genomic selection 현지 역량 이전</t>
        </is>
      </c>
    </row>
    <row r="150" ht="30" customHeight="1">
      <c r="A150" s="20" t="n">
        <v>146</v>
      </c>
      <c r="B150" s="21" t="inlineStr">
        <is>
          <t>I. 체외수정란(IVF) 실험실</t>
        </is>
      </c>
      <c r="C150" s="21" t="inlineStr">
        <is>
          <t>OPU 대체</t>
        </is>
      </c>
      <c r="D150" s="21" t="inlineStr">
        <is>
          <t>도축장 난소 회수·운반 보온컨테이너</t>
        </is>
      </c>
      <c r="E150" s="21" t="inlineStr">
        <is>
          <t>난소 수급 라인 구축</t>
        </is>
      </c>
      <c r="F150" s="21" t="inlineStr">
        <is>
          <t>-</t>
        </is>
      </c>
      <c r="G150" s="20" t="inlineStr">
        <is>
          <t>식</t>
        </is>
      </c>
      <c r="H150" s="22" t="n">
        <v>1</v>
      </c>
      <c r="I150" s="23" t="n">
        <v>12000000</v>
      </c>
      <c r="J150" s="24">
        <f>H150*I150</f>
        <v/>
      </c>
      <c r="K150" s="23">
        <f>ROUND(J150/'05.전제조건'!$C$5,0)</f>
        <v/>
      </c>
      <c r="L150" s="20" t="inlineStr">
        <is>
          <t>본안</t>
        </is>
      </c>
      <c r="M150" s="20" t="inlineStr">
        <is>
          <t>무상(KOICA)</t>
        </is>
      </c>
      <c r="N150" s="21" t="inlineStr">
        <is>
          <t>OPU 병행 — 저비용 대량 IVF 체계</t>
        </is>
      </c>
    </row>
    <row r="151" ht="30" customHeight="1">
      <c r="A151" s="27" t="n">
        <v>147</v>
      </c>
      <c r="B151" s="28" t="inlineStr">
        <is>
          <t>J. ICT·스마트팜</t>
        </is>
      </c>
      <c r="C151" s="28" t="inlineStr">
        <is>
          <t>ICT 기반 젖소 건강·번식·생산성 관리 플랫폼 등 기자재</t>
        </is>
      </c>
      <c r="D151" s="28" t="inlineStr">
        <is>
          <t>smaXtec 반추위 볼러스 센서 — 통신중계기·인프라 설치</t>
        </is>
      </c>
      <c r="E151" s="28" t="inlineStr">
        <is>
          <t>목장 단위 1회성 설치 (중계기·기지국·인프라)</t>
        </is>
      </c>
      <c r="F151" s="28" t="inlineStr">
        <is>
          <t>smaXtec</t>
        </is>
      </c>
      <c r="G151" s="27" t="inlineStr">
        <is>
          <t>식</t>
        </is>
      </c>
      <c r="H151" s="29" t="n">
        <v>1</v>
      </c>
      <c r="I151" s="30" t="n">
        <v>5000000</v>
      </c>
      <c r="J151" s="31">
        <f>H151*I151</f>
        <v/>
      </c>
      <c r="K151" s="30">
        <f>ROUND(J151/'05.전제조건'!$C$5,0)</f>
        <v/>
      </c>
      <c r="L151" s="27" t="inlineStr">
        <is>
          <t>본안</t>
        </is>
      </c>
      <c r="M151" s="27" t="inlineStr">
        <is>
          <t>민간(제네틱스·D2O)</t>
        </is>
      </c>
      <c r="N151" s="28" t="inlineStr">
        <is>
          <t>★ 회장님 지시 핵심항목. 공식 판매조건: 설치 500만원/목장</t>
        </is>
      </c>
    </row>
    <row r="152" ht="30" customHeight="1">
      <c r="A152" s="27" t="n">
        <v>148</v>
      </c>
      <c r="B152" s="28" t="inlineStr">
        <is>
          <t>J. ICT·스마트팜</t>
        </is>
      </c>
      <c r="C152" s="28" t="inlineStr">
        <is>
          <t>ICT 기반 젖소 건강·번식·생산성 관리 플랫폼 등 기자재</t>
        </is>
      </c>
      <c r="D152" s="28" t="inlineStr">
        <is>
          <t>smaXtec 위내센서 이용료 (180두 × 36개월)</t>
        </is>
      </c>
      <c r="E152" s="28" t="inlineStr">
        <is>
          <t>두당 월 12,000원 / 4년 유지조건 / 고장 시 무상교체</t>
        </is>
      </c>
      <c r="F152" s="28" t="inlineStr">
        <is>
          <t>smaXtec</t>
        </is>
      </c>
      <c r="G152" s="27" t="inlineStr">
        <is>
          <t>두·월</t>
        </is>
      </c>
      <c r="H152" s="29" t="n">
        <v>6480</v>
      </c>
      <c r="I152" s="30" t="n">
        <v>12000</v>
      </c>
      <c r="J152" s="31">
        <f>H152*I152</f>
        <v/>
      </c>
      <c r="K152" s="30">
        <f>ROUND(J152/'05.전제조건'!$C$5,0)</f>
        <v/>
      </c>
      <c r="L152" s="27" t="inlineStr">
        <is>
          <t>본안</t>
        </is>
      </c>
      <c r="M152" s="27" t="inlineStr">
        <is>
          <t>민간(제네틱스·D2O)</t>
        </is>
      </c>
      <c r="N152" s="34" t="inlineStr">
        <is>
          <t>★★ 회장님 지시 핵심항목. 체온·음수·반추·활동량 → 발정·분만·질병 예측</t>
        </is>
      </c>
    </row>
    <row r="153" ht="30" customHeight="1">
      <c r="A153" s="27" t="n">
        <v>149</v>
      </c>
      <c r="B153" s="28" t="inlineStr">
        <is>
          <t>J. ICT·스마트팜</t>
        </is>
      </c>
      <c r="C153" s="28" t="inlineStr">
        <is>
          <t>ICT 기반 젖소 건강·번식·생산성 관리 플랫폼 등 기자재</t>
        </is>
      </c>
      <c r="D153" s="28" t="inlineStr">
        <is>
          <t>볼러스 투여기·핸드리더·예비 센서</t>
        </is>
      </c>
      <c r="E153" s="28" t="inlineStr">
        <is>
          <t>현장 운용 세트</t>
        </is>
      </c>
      <c r="F153" s="28" t="inlineStr">
        <is>
          <t>smaXtec</t>
        </is>
      </c>
      <c r="G153" s="27" t="inlineStr">
        <is>
          <t>식</t>
        </is>
      </c>
      <c r="H153" s="29" t="n">
        <v>1</v>
      </c>
      <c r="I153" s="30" t="n">
        <v>18000000</v>
      </c>
      <c r="J153" s="31">
        <f>H153*I153</f>
        <v/>
      </c>
      <c r="K153" s="30">
        <f>ROUND(J153/'05.전제조건'!$C$5,0)</f>
        <v/>
      </c>
      <c r="L153" s="27" t="inlineStr">
        <is>
          <t>본안</t>
        </is>
      </c>
      <c r="M153" s="27" t="inlineStr">
        <is>
          <t>민간(제네틱스·D2O)</t>
        </is>
      </c>
      <c r="N153" s="28" t="inlineStr">
        <is>
          <t>-</t>
        </is>
      </c>
    </row>
    <row r="154" ht="30" customHeight="1">
      <c r="A154" s="27" t="n">
        <v>150</v>
      </c>
      <c r="B154" s="28" t="inlineStr">
        <is>
          <t>J. ICT·스마트팜</t>
        </is>
      </c>
      <c r="C154" s="28" t="inlineStr">
        <is>
          <t>축산환경 계측 기자재(ICT)</t>
        </is>
      </c>
      <c r="D154" s="28" t="inlineStr">
        <is>
          <t>축사 환경센서 통합 20포인트</t>
        </is>
      </c>
      <c r="E154" s="28" t="inlineStr">
        <is>
          <t>온습도(THI)·NH3·CO2·H2S·풍속·조도·PM2.5/10 — 실시간 전송</t>
        </is>
      </c>
      <c r="F154" s="28" t="inlineStr">
        <is>
          <t>-</t>
        </is>
      </c>
      <c r="G154" s="27" t="inlineStr">
        <is>
          <t>식</t>
        </is>
      </c>
      <c r="H154" s="29" t="n">
        <v>1</v>
      </c>
      <c r="I154" s="30" t="n">
        <v>45000000</v>
      </c>
      <c r="J154" s="31">
        <f>H154*I154</f>
        <v/>
      </c>
      <c r="K154" s="30">
        <f>ROUND(J154/'05.전제조건'!$C$5,0)</f>
        <v/>
      </c>
      <c r="L154" s="27" t="inlineStr">
        <is>
          <t>본안</t>
        </is>
      </c>
      <c r="M154" s="27" t="inlineStr">
        <is>
          <t>무상(KOICA)</t>
        </is>
      </c>
      <c r="N154" s="28" t="inlineStr">
        <is>
          <t>★ 회장님 지시 환경센서. 원본 F열 개별기기(하단)와 계측 목적 구분</t>
        </is>
      </c>
    </row>
    <row r="155" ht="30" customHeight="1">
      <c r="A155" s="27" t="n">
        <v>151</v>
      </c>
      <c r="B155" s="28" t="inlineStr">
        <is>
          <t>J. ICT·스마트팜</t>
        </is>
      </c>
      <c r="C155" s="28" t="inlineStr">
        <is>
          <t>축산환경 계측 기자재(ICT)</t>
        </is>
      </c>
      <c r="D155" s="28" t="inlineStr">
        <is>
          <t>비접촉 온도계</t>
        </is>
      </c>
      <c r="E155" s="28" t="inlineStr">
        <is>
          <t>온도측정범위 -60 ~ 760℃</t>
        </is>
      </c>
      <c r="F155" s="28" t="inlineStr">
        <is>
          <t>-</t>
        </is>
      </c>
      <c r="G155" s="27" t="inlineStr">
        <is>
          <t>대</t>
        </is>
      </c>
      <c r="H155" s="29" t="n">
        <v>5</v>
      </c>
      <c r="I155" s="30" t="n">
        <v>350000</v>
      </c>
      <c r="J155" s="31">
        <f>H155*I155</f>
        <v/>
      </c>
      <c r="K155" s="30">
        <f>ROUND(J155/'05.전제조건'!$C$5,0)</f>
        <v/>
      </c>
      <c r="L155" s="27" t="inlineStr">
        <is>
          <t>본안</t>
        </is>
      </c>
      <c r="M155" s="27" t="inlineStr">
        <is>
          <t>무상(KOICA)</t>
        </is>
      </c>
      <c r="N155" s="28" t="inlineStr">
        <is>
          <t>★ 원본 리스트 그대로 반영(현장 실측·교육용)</t>
        </is>
      </c>
    </row>
    <row r="156" ht="30" customHeight="1">
      <c r="A156" s="27" t="n">
        <v>152</v>
      </c>
      <c r="B156" s="28" t="inlineStr">
        <is>
          <t>J. ICT·스마트팜</t>
        </is>
      </c>
      <c r="C156" s="28" t="inlineStr">
        <is>
          <t>축산환경 계측 기자재(ICT)</t>
        </is>
      </c>
      <c r="D156" s="28" t="inlineStr">
        <is>
          <t>온습도 기록계 (MICRO LOG)</t>
        </is>
      </c>
      <c r="E156" s="28" t="inlineStr">
        <is>
          <t>장기 기록형</t>
        </is>
      </c>
      <c r="F156" s="28" t="inlineStr">
        <is>
          <t>MICRO LOG</t>
        </is>
      </c>
      <c r="G156" s="27" t="inlineStr">
        <is>
          <t>대</t>
        </is>
      </c>
      <c r="H156" s="29" t="n">
        <v>10</v>
      </c>
      <c r="I156" s="30" t="n">
        <v>250000</v>
      </c>
      <c r="J156" s="31">
        <f>H156*I156</f>
        <v/>
      </c>
      <c r="K156" s="30">
        <f>ROUND(J156/'05.전제조건'!$C$5,0)</f>
        <v/>
      </c>
      <c r="L156" s="27" t="inlineStr">
        <is>
          <t>본안</t>
        </is>
      </c>
      <c r="M156" s="27" t="inlineStr">
        <is>
          <t>무상(KOICA)</t>
        </is>
      </c>
      <c r="N156" s="28" t="inlineStr">
        <is>
          <t>★ 원본 리스트 그대로 반영</t>
        </is>
      </c>
    </row>
    <row r="157" ht="30" customHeight="1">
      <c r="A157" s="27" t="n">
        <v>153</v>
      </c>
      <c r="B157" s="28" t="inlineStr">
        <is>
          <t>J. ICT·스마트팜</t>
        </is>
      </c>
      <c r="C157" s="28" t="inlineStr">
        <is>
          <t>축산환경 계측 기자재(ICT)</t>
        </is>
      </c>
      <c r="D157" s="28" t="inlineStr">
        <is>
          <t>암모니아 측정기 / 수동</t>
        </is>
      </c>
      <c r="E157" s="28" t="inlineStr">
        <is>
          <t>수동식 + 검지관</t>
        </is>
      </c>
      <c r="F157" s="28" t="inlineStr">
        <is>
          <t>-</t>
        </is>
      </c>
      <c r="G157" s="27" t="inlineStr">
        <is>
          <t>대</t>
        </is>
      </c>
      <c r="H157" s="29" t="n">
        <v>3</v>
      </c>
      <c r="I157" s="30" t="n">
        <v>450000</v>
      </c>
      <c r="J157" s="31">
        <f>H157*I157</f>
        <v/>
      </c>
      <c r="K157" s="30">
        <f>ROUND(J157/'05.전제조건'!$C$5,0)</f>
        <v/>
      </c>
      <c r="L157" s="27" t="inlineStr">
        <is>
          <t>본안</t>
        </is>
      </c>
      <c r="M157" s="27" t="inlineStr">
        <is>
          <t>무상(KOICA)</t>
        </is>
      </c>
      <c r="N157" s="28" t="inlineStr">
        <is>
          <t>★ 원본 리스트 그대로 반영</t>
        </is>
      </c>
    </row>
    <row r="158" ht="30" customHeight="1">
      <c r="A158" s="27" t="n">
        <v>154</v>
      </c>
      <c r="B158" s="28" t="inlineStr">
        <is>
          <t>J. ICT·스마트팜</t>
        </is>
      </c>
      <c r="C158" s="28" t="inlineStr">
        <is>
          <t>축산환경 계측 기자재(ICT)</t>
        </is>
      </c>
      <c r="D158" s="28" t="inlineStr">
        <is>
          <t>암모니아 가스 검지관</t>
        </is>
      </c>
      <c r="E158" s="28" t="inlineStr">
        <is>
          <t>1박스 / 10개</t>
        </is>
      </c>
      <c r="F158" s="28" t="inlineStr">
        <is>
          <t>-</t>
        </is>
      </c>
      <c r="G158" s="27" t="inlineStr">
        <is>
          <t>box</t>
        </is>
      </c>
      <c r="H158" s="29" t="n">
        <v>20</v>
      </c>
      <c r="I158" s="30" t="n">
        <v>120000</v>
      </c>
      <c r="J158" s="31">
        <f>H158*I158</f>
        <v/>
      </c>
      <c r="K158" s="30">
        <f>ROUND(J158/'05.전제조건'!$C$5,0)</f>
        <v/>
      </c>
      <c r="L158" s="27" t="inlineStr">
        <is>
          <t>본안</t>
        </is>
      </c>
      <c r="M158" s="27" t="inlineStr">
        <is>
          <t>무상(KOICA)</t>
        </is>
      </c>
      <c r="N158" s="28" t="inlineStr">
        <is>
          <t>★ 원본 리스트 그대로 반영</t>
        </is>
      </c>
    </row>
    <row r="159" ht="30" customHeight="1">
      <c r="A159" s="27" t="n">
        <v>155</v>
      </c>
      <c r="B159" s="28" t="inlineStr">
        <is>
          <t>J. ICT·스마트팜</t>
        </is>
      </c>
      <c r="C159" s="28" t="inlineStr">
        <is>
          <t>축산환경 계측 기자재(ICT)</t>
        </is>
      </c>
      <c r="D159" s="28" t="inlineStr">
        <is>
          <t>암모니아 측정기 / 디지털</t>
        </is>
      </c>
      <c r="E159" s="28" t="inlineStr">
        <is>
          <t>규격서 별첨</t>
        </is>
      </c>
      <c r="F159" s="28" t="inlineStr">
        <is>
          <t>-</t>
        </is>
      </c>
      <c r="G159" s="27" t="inlineStr">
        <is>
          <t>대</t>
        </is>
      </c>
      <c r="H159" s="29" t="n">
        <v>3</v>
      </c>
      <c r="I159" s="30" t="n">
        <v>1800000</v>
      </c>
      <c r="J159" s="31">
        <f>H159*I159</f>
        <v/>
      </c>
      <c r="K159" s="30">
        <f>ROUND(J159/'05.전제조건'!$C$5,0)</f>
        <v/>
      </c>
      <c r="L159" s="27" t="inlineStr">
        <is>
          <t>본안</t>
        </is>
      </c>
      <c r="M159" s="27" t="inlineStr">
        <is>
          <t>무상(KOICA)</t>
        </is>
      </c>
      <c r="N159" s="28" t="inlineStr">
        <is>
          <t>★ 원본 리스트 그대로 반영</t>
        </is>
      </c>
    </row>
    <row r="160" ht="30" customHeight="1">
      <c r="A160" s="27" t="n">
        <v>156</v>
      </c>
      <c r="B160" s="28" t="inlineStr">
        <is>
          <t>J. ICT·스마트팜</t>
        </is>
      </c>
      <c r="C160" s="28" t="inlineStr">
        <is>
          <t>축산환경 계측 기자재(ICT)</t>
        </is>
      </c>
      <c r="D160" s="28" t="inlineStr">
        <is>
          <t>디지털 풍속온도계 (Kestrel 3000)</t>
        </is>
      </c>
      <c r="E160" s="28" t="inlineStr">
        <is>
          <t>기류·온습도 측정</t>
        </is>
      </c>
      <c r="F160" s="28" t="inlineStr">
        <is>
          <t>Kestrel 3000</t>
        </is>
      </c>
      <c r="G160" s="27" t="inlineStr">
        <is>
          <t>대</t>
        </is>
      </c>
      <c r="H160" s="29" t="n">
        <v>3</v>
      </c>
      <c r="I160" s="30" t="n">
        <v>550000</v>
      </c>
      <c r="J160" s="31">
        <f>H160*I160</f>
        <v/>
      </c>
      <c r="K160" s="30">
        <f>ROUND(J160/'05.전제조건'!$C$5,0)</f>
        <v/>
      </c>
      <c r="L160" s="27" t="inlineStr">
        <is>
          <t>본안</t>
        </is>
      </c>
      <c r="M160" s="27" t="inlineStr">
        <is>
          <t>무상(KOICA)</t>
        </is>
      </c>
      <c r="N160" s="28" t="inlineStr">
        <is>
          <t>★ 원본 리스트 그대로 반영</t>
        </is>
      </c>
    </row>
    <row r="161" ht="30" customHeight="1">
      <c r="A161" s="27" t="n">
        <v>157</v>
      </c>
      <c r="B161" s="28" t="inlineStr">
        <is>
          <t>J. ICT·스마트팜</t>
        </is>
      </c>
      <c r="C161" s="28" t="inlineStr">
        <is>
          <t>축산환경 계측 기자재(ICT)</t>
        </is>
      </c>
      <c r="D161" s="28" t="inlineStr">
        <is>
          <t>포그머신 (Z-1000)</t>
        </is>
      </c>
      <c r="E161" s="28" t="inlineStr">
        <is>
          <t>기류 측정용, 연무 방출</t>
        </is>
      </c>
      <c r="F161" s="28" t="inlineStr">
        <is>
          <t>Z-1000</t>
        </is>
      </c>
      <c r="G161" s="27" t="inlineStr">
        <is>
          <t>대</t>
        </is>
      </c>
      <c r="H161" s="29" t="n">
        <v>2</v>
      </c>
      <c r="I161" s="30" t="n">
        <v>900000</v>
      </c>
      <c r="J161" s="31">
        <f>H161*I161</f>
        <v/>
      </c>
      <c r="K161" s="30">
        <f>ROUND(J161/'05.전제조건'!$C$5,0)</f>
        <v/>
      </c>
      <c r="L161" s="27" t="inlineStr">
        <is>
          <t>본안</t>
        </is>
      </c>
      <c r="M161" s="27" t="inlineStr">
        <is>
          <t>무상(KOICA)</t>
        </is>
      </c>
      <c r="N161" s="28" t="inlineStr">
        <is>
          <t>★ 원본 리스트 그대로 반영 — 환기 컨설팅 필수 도구</t>
        </is>
      </c>
    </row>
    <row r="162" ht="30" customHeight="1">
      <c r="A162" s="27" t="n">
        <v>158</v>
      </c>
      <c r="B162" s="28" t="inlineStr">
        <is>
          <t>J. ICT·스마트팜</t>
        </is>
      </c>
      <c r="C162" s="28" t="inlineStr">
        <is>
          <t>축산환경 계측 기자재(ICT)</t>
        </is>
      </c>
      <c r="D162" s="28" t="inlineStr">
        <is>
          <t>포그머신 액</t>
        </is>
      </c>
      <c r="E162" s="28" t="inlineStr">
        <is>
          <t>6L용</t>
        </is>
      </c>
      <c r="F162" s="28" t="inlineStr">
        <is>
          <t>-</t>
        </is>
      </c>
      <c r="G162" s="27" t="inlineStr">
        <is>
          <t>통</t>
        </is>
      </c>
      <c r="H162" s="29" t="n">
        <v>10</v>
      </c>
      <c r="I162" s="30" t="n">
        <v>60000</v>
      </c>
      <c r="J162" s="31">
        <f>H162*I162</f>
        <v/>
      </c>
      <c r="K162" s="30">
        <f>ROUND(J162/'05.전제조건'!$C$5,0)</f>
        <v/>
      </c>
      <c r="L162" s="27" t="inlineStr">
        <is>
          <t>본안</t>
        </is>
      </c>
      <c r="M162" s="27" t="inlineStr">
        <is>
          <t>무상(KOICA)</t>
        </is>
      </c>
      <c r="N162" s="28" t="inlineStr">
        <is>
          <t>★ 원본 리스트 그대로 반영</t>
        </is>
      </c>
    </row>
    <row r="163" ht="30" customHeight="1">
      <c r="A163" s="27" t="n">
        <v>159</v>
      </c>
      <c r="B163" s="28" t="inlineStr">
        <is>
          <t>J. ICT·스마트팜</t>
        </is>
      </c>
      <c r="C163" s="28" t="inlineStr">
        <is>
          <t>축산환경 계측 기자재(ICT)</t>
        </is>
      </c>
      <c r="D163" s="28" t="inlineStr">
        <is>
          <t>알콜 온도계 / 일반용</t>
        </is>
      </c>
      <c r="E163" s="28" t="inlineStr">
        <is>
          <t>측정범위 -30 ~ +110℃</t>
        </is>
      </c>
      <c r="F163" s="28" t="inlineStr">
        <is>
          <t>-</t>
        </is>
      </c>
      <c r="G163" s="27" t="inlineStr">
        <is>
          <t>개</t>
        </is>
      </c>
      <c r="H163" s="29" t="n">
        <v>20</v>
      </c>
      <c r="I163" s="30" t="n">
        <v>25000</v>
      </c>
      <c r="J163" s="31">
        <f>H163*I163</f>
        <v/>
      </c>
      <c r="K163" s="30">
        <f>ROUND(J163/'05.전제조건'!$C$5,0)</f>
        <v/>
      </c>
      <c r="L163" s="27" t="inlineStr">
        <is>
          <t>본안</t>
        </is>
      </c>
      <c r="M163" s="27" t="inlineStr">
        <is>
          <t>무상(KOICA)</t>
        </is>
      </c>
      <c r="N163" s="28" t="inlineStr">
        <is>
          <t>★ 원본 리스트 그대로 반영</t>
        </is>
      </c>
    </row>
    <row r="164" ht="30" customHeight="1">
      <c r="A164" s="27" t="n">
        <v>160</v>
      </c>
      <c r="B164" s="28" t="inlineStr">
        <is>
          <t>J. ICT·스마트팜</t>
        </is>
      </c>
      <c r="C164" s="28" t="inlineStr">
        <is>
          <t>축산환경 계측 기자재(ICT)</t>
        </is>
      </c>
      <c r="D164" s="28" t="inlineStr">
        <is>
          <t>최고최저 온도계</t>
        </is>
      </c>
      <c r="E164" s="28" t="inlineStr">
        <is>
          <t>측정범위 -30 ~ +110℃</t>
        </is>
      </c>
      <c r="F164" s="28" t="inlineStr">
        <is>
          <t>-</t>
        </is>
      </c>
      <c r="G164" s="27" t="inlineStr">
        <is>
          <t>개</t>
        </is>
      </c>
      <c r="H164" s="29" t="n">
        <v>20</v>
      </c>
      <c r="I164" s="30" t="n">
        <v>35000</v>
      </c>
      <c r="J164" s="31">
        <f>H164*I164</f>
        <v/>
      </c>
      <c r="K164" s="30">
        <f>ROUND(J164/'05.전제조건'!$C$5,0)</f>
        <v/>
      </c>
      <c r="L164" s="27" t="inlineStr">
        <is>
          <t>본안</t>
        </is>
      </c>
      <c r="M164" s="27" t="inlineStr">
        <is>
          <t>무상(KOICA)</t>
        </is>
      </c>
      <c r="N164" s="28" t="inlineStr">
        <is>
          <t>★ 원본 리스트 그대로 반영</t>
        </is>
      </c>
    </row>
    <row r="165" ht="30" customHeight="1">
      <c r="A165" s="27" t="n">
        <v>161</v>
      </c>
      <c r="B165" s="28" t="inlineStr">
        <is>
          <t>J. ICT·스마트팜</t>
        </is>
      </c>
      <c r="C165" s="28" t="inlineStr">
        <is>
          <t>축산환경 계측 기자재(ICT)</t>
        </is>
      </c>
      <c r="D165" s="28" t="inlineStr">
        <is>
          <t>디지털 온도습도계</t>
        </is>
      </c>
      <c r="E165" s="28" t="inlineStr">
        <is>
          <t>-</t>
        </is>
      </c>
      <c r="F165" s="28" t="inlineStr">
        <is>
          <t>-</t>
        </is>
      </c>
      <c r="G165" s="27" t="inlineStr">
        <is>
          <t>개</t>
        </is>
      </c>
      <c r="H165" s="29" t="n">
        <v>20</v>
      </c>
      <c r="I165" s="30" t="n">
        <v>45000</v>
      </c>
      <c r="J165" s="31">
        <f>H165*I165</f>
        <v/>
      </c>
      <c r="K165" s="30">
        <f>ROUND(J165/'05.전제조건'!$C$5,0)</f>
        <v/>
      </c>
      <c r="L165" s="27" t="inlineStr">
        <is>
          <t>본안</t>
        </is>
      </c>
      <c r="M165" s="27" t="inlineStr">
        <is>
          <t>무상(KOICA)</t>
        </is>
      </c>
      <c r="N165" s="28" t="inlineStr">
        <is>
          <t>★ 원본 리스트 그대로 반영</t>
        </is>
      </c>
    </row>
    <row r="166" ht="30" customHeight="1">
      <c r="A166" s="27" t="n">
        <v>162</v>
      </c>
      <c r="B166" s="28" t="inlineStr">
        <is>
          <t>J. ICT·스마트팜</t>
        </is>
      </c>
      <c r="C166" s="28" t="inlineStr">
        <is>
          <t>축산환경 계측 기자재(ICT)</t>
        </is>
      </c>
      <c r="D166" s="28" t="inlineStr">
        <is>
          <t>건습구 습도계</t>
        </is>
      </c>
      <c r="E166" s="28" t="inlineStr">
        <is>
          <t>-</t>
        </is>
      </c>
      <c r="F166" s="28" t="inlineStr">
        <is>
          <t>-</t>
        </is>
      </c>
      <c r="G166" s="27" t="inlineStr">
        <is>
          <t>개</t>
        </is>
      </c>
      <c r="H166" s="29" t="n">
        <v>10</v>
      </c>
      <c r="I166" s="30" t="n">
        <v>60000</v>
      </c>
      <c r="J166" s="31">
        <f>H166*I166</f>
        <v/>
      </c>
      <c r="K166" s="30">
        <f>ROUND(J166/'05.전제조건'!$C$5,0)</f>
        <v/>
      </c>
      <c r="L166" s="27" t="inlineStr">
        <is>
          <t>본안</t>
        </is>
      </c>
      <c r="M166" s="27" t="inlineStr">
        <is>
          <t>무상(KOICA)</t>
        </is>
      </c>
      <c r="N166" s="28" t="inlineStr">
        <is>
          <t>★ 원본 리스트 그대로 반영</t>
        </is>
      </c>
    </row>
    <row r="167" ht="30" customHeight="1">
      <c r="A167" s="27" t="n">
        <v>163</v>
      </c>
      <c r="B167" s="28" t="inlineStr">
        <is>
          <t>J. ICT·스마트팜</t>
        </is>
      </c>
      <c r="C167" s="28" t="inlineStr">
        <is>
          <t>축산환경 계측 기자재(ICT)</t>
        </is>
      </c>
      <c r="D167" s="28" t="inlineStr">
        <is>
          <t>복합가스 측정기</t>
        </is>
      </c>
      <c r="E167" s="28" t="inlineStr">
        <is>
          <t>NH3·H2S·CO2·CH4 동시측정</t>
        </is>
      </c>
      <c r="F167" s="28" t="inlineStr">
        <is>
          <t>-</t>
        </is>
      </c>
      <c r="G167" s="27" t="inlineStr">
        <is>
          <t>대</t>
        </is>
      </c>
      <c r="H167" s="29" t="n">
        <v>2</v>
      </c>
      <c r="I167" s="30" t="n">
        <v>4500000</v>
      </c>
      <c r="J167" s="31">
        <f>H167*I167</f>
        <v/>
      </c>
      <c r="K167" s="30">
        <f>ROUND(J167/'05.전제조건'!$C$5,0)</f>
        <v/>
      </c>
      <c r="L167" s="27" t="inlineStr">
        <is>
          <t>본안</t>
        </is>
      </c>
      <c r="M167" s="27" t="inlineStr">
        <is>
          <t>무상(KOICA)</t>
        </is>
      </c>
      <c r="N167" s="28" t="inlineStr">
        <is>
          <t>★ 원본 리스트 그대로 반영 — 온실가스 모니터링 기반</t>
        </is>
      </c>
    </row>
    <row r="168" ht="30" customHeight="1">
      <c r="A168" s="27" t="n">
        <v>164</v>
      </c>
      <c r="B168" s="28" t="inlineStr">
        <is>
          <t>J. ICT·스마트팜</t>
        </is>
      </c>
      <c r="C168" s="28" t="inlineStr">
        <is>
          <t>축산환경 계측 기자재(ICT)</t>
        </is>
      </c>
      <c r="D168" s="28" t="inlineStr">
        <is>
          <t>열화상 카메라</t>
        </is>
      </c>
      <c r="E168" s="28" t="inlineStr">
        <is>
          <t>규격서 별첨 / 유방염·발굽병 조기진단</t>
        </is>
      </c>
      <c r="F168" s="28" t="inlineStr">
        <is>
          <t>-</t>
        </is>
      </c>
      <c r="G168" s="27" t="inlineStr">
        <is>
          <t>대</t>
        </is>
      </c>
      <c r="H168" s="29" t="n">
        <v>2</v>
      </c>
      <c r="I168" s="30" t="n">
        <v>6500000</v>
      </c>
      <c r="J168" s="31">
        <f>H168*I168</f>
        <v/>
      </c>
      <c r="K168" s="30">
        <f>ROUND(J168/'05.전제조건'!$C$5,0)</f>
        <v/>
      </c>
      <c r="L168" s="27" t="inlineStr">
        <is>
          <t>본안</t>
        </is>
      </c>
      <c r="M168" s="27" t="inlineStr">
        <is>
          <t>무상(KOICA)</t>
        </is>
      </c>
      <c r="N168" s="28" t="inlineStr">
        <is>
          <t>★ 원본 리스트 그대로 반영</t>
        </is>
      </c>
    </row>
    <row r="169" ht="30" customHeight="1">
      <c r="A169" s="27" t="n">
        <v>165</v>
      </c>
      <c r="B169" s="28" t="inlineStr">
        <is>
          <t>J. ICT·스마트팜</t>
        </is>
      </c>
      <c r="C169" s="28" t="inlineStr">
        <is>
          <t>축산환경 계측 기자재(ICT)</t>
        </is>
      </c>
      <c r="D169" s="28" t="inlineStr">
        <is>
          <t>소음 측정기</t>
        </is>
      </c>
      <c r="E169" s="28" t="inlineStr">
        <is>
          <t>규격서 별첨</t>
        </is>
      </c>
      <c r="F169" s="28" t="inlineStr">
        <is>
          <t>-</t>
        </is>
      </c>
      <c r="G169" s="27" t="inlineStr">
        <is>
          <t>대</t>
        </is>
      </c>
      <c r="H169" s="29" t="n">
        <v>2</v>
      </c>
      <c r="I169" s="30" t="n">
        <v>800000</v>
      </c>
      <c r="J169" s="31">
        <f>H169*I169</f>
        <v/>
      </c>
      <c r="K169" s="30">
        <f>ROUND(J169/'05.전제조건'!$C$5,0)</f>
        <v/>
      </c>
      <c r="L169" s="27" t="inlineStr">
        <is>
          <t>본안</t>
        </is>
      </c>
      <c r="M169" s="27" t="inlineStr">
        <is>
          <t>무상(KOICA)</t>
        </is>
      </c>
      <c r="N169" s="28" t="inlineStr">
        <is>
          <t>★ 원본 리스트 그대로 반영</t>
        </is>
      </c>
    </row>
    <row r="170" ht="30" customHeight="1">
      <c r="A170" s="27" t="n">
        <v>166</v>
      </c>
      <c r="B170" s="28" t="inlineStr">
        <is>
          <t>J. ICT·스마트팜</t>
        </is>
      </c>
      <c r="C170" s="28" t="inlineStr">
        <is>
          <t>축산환경 계측 기자재(ICT)</t>
        </is>
      </c>
      <c r="D170" s="28" t="inlineStr">
        <is>
          <t>디지털 조도계 (YK-10LX)</t>
        </is>
      </c>
      <c r="E170" s="28" t="inlineStr">
        <is>
          <t>-</t>
        </is>
      </c>
      <c r="F170" s="28" t="inlineStr">
        <is>
          <t>YK-10LX</t>
        </is>
      </c>
      <c r="G170" s="27" t="inlineStr">
        <is>
          <t>대</t>
        </is>
      </c>
      <c r="H170" s="29" t="n">
        <v>3</v>
      </c>
      <c r="I170" s="30" t="n">
        <v>350000</v>
      </c>
      <c r="J170" s="31">
        <f>H170*I170</f>
        <v/>
      </c>
      <c r="K170" s="30">
        <f>ROUND(J170/'05.전제조건'!$C$5,0)</f>
        <v/>
      </c>
      <c r="L170" s="27" t="inlineStr">
        <is>
          <t>본안</t>
        </is>
      </c>
      <c r="M170" s="27" t="inlineStr">
        <is>
          <t>무상(KOICA)</t>
        </is>
      </c>
      <c r="N170" s="28" t="inlineStr">
        <is>
          <t>★ 원본 리스트 그대로 반영 — 장일조명 관리</t>
        </is>
      </c>
    </row>
    <row r="171" ht="30" customHeight="1">
      <c r="A171" s="27" t="n">
        <v>167</v>
      </c>
      <c r="B171" s="28" t="inlineStr">
        <is>
          <t>J. ICT·스마트팜</t>
        </is>
      </c>
      <c r="C171" s="28" t="inlineStr">
        <is>
          <t>스마트팜 제어설비</t>
        </is>
      </c>
      <c r="D171" s="28" t="inlineStr">
        <is>
          <t>대형 순환팬 (직경 1.2m 이상)</t>
        </is>
      </c>
      <c r="E171" s="28" t="inlineStr">
        <is>
          <t>혹서기 체감온도 5~7℃ 저감 목표</t>
        </is>
      </c>
      <c r="F171" s="28" t="inlineStr">
        <is>
          <t>-</t>
        </is>
      </c>
      <c r="G171" s="27" t="inlineStr">
        <is>
          <t>대</t>
        </is>
      </c>
      <c r="H171" s="29" t="n">
        <v>20</v>
      </c>
      <c r="I171" s="30" t="n">
        <v>3500000</v>
      </c>
      <c r="J171" s="31">
        <f>H171*I171</f>
        <v/>
      </c>
      <c r="K171" s="30">
        <f>ROUND(J171/'05.전제조건'!$C$5,0)</f>
        <v/>
      </c>
      <c r="L171" s="27" t="inlineStr">
        <is>
          <t>본안</t>
        </is>
      </c>
      <c r="M171" s="27" t="inlineStr">
        <is>
          <t>무상(KOICA)</t>
        </is>
      </c>
      <c r="N171" s="28" t="inlineStr">
        <is>
          <t>★ 우즈벡 하절기 40℃ 대응 — 열스트레스 대책 최우선</t>
        </is>
      </c>
    </row>
    <row r="172" ht="30" customHeight="1">
      <c r="A172" s="27" t="n">
        <v>168</v>
      </c>
      <c r="B172" s="28" t="inlineStr">
        <is>
          <t>J. ICT·스마트팜</t>
        </is>
      </c>
      <c r="C172" s="28" t="inlineStr">
        <is>
          <t>스마트팜 제어설비</t>
        </is>
      </c>
      <c r="D172" s="28" t="inlineStr">
        <is>
          <t>쿨링 포그·스프링클러 시스템</t>
        </is>
      </c>
      <c r="E172" s="28" t="inlineStr">
        <is>
          <t>THI 연동 자동 가동</t>
        </is>
      </c>
      <c r="F172" s="28" t="inlineStr">
        <is>
          <t>-</t>
        </is>
      </c>
      <c r="G172" s="27" t="inlineStr">
        <is>
          <t>식</t>
        </is>
      </c>
      <c r="H172" s="29" t="n">
        <v>1</v>
      </c>
      <c r="I172" s="30" t="n">
        <v>70000000</v>
      </c>
      <c r="J172" s="31">
        <f>H172*I172</f>
        <v/>
      </c>
      <c r="K172" s="30">
        <f>ROUND(J172/'05.전제조건'!$C$5,0)</f>
        <v/>
      </c>
      <c r="L172" s="27" t="inlineStr">
        <is>
          <t>본안</t>
        </is>
      </c>
      <c r="M172" s="27" t="inlineStr">
        <is>
          <t>무상(KOICA)</t>
        </is>
      </c>
      <c r="N172" s="28" t="inlineStr">
        <is>
          <t>환경센서 → 자동제어 연동</t>
        </is>
      </c>
    </row>
    <row r="173" ht="30" customHeight="1">
      <c r="A173" s="27" t="n">
        <v>169</v>
      </c>
      <c r="B173" s="28" t="inlineStr">
        <is>
          <t>J. ICT·스마트팜</t>
        </is>
      </c>
      <c r="C173" s="28" t="inlineStr">
        <is>
          <t>스마트팜 제어설비</t>
        </is>
      </c>
      <c r="D173" s="28" t="inlineStr">
        <is>
          <t>윈치커튼 자동제어 (측벽 개폐)</t>
        </is>
      </c>
      <c r="E173" s="28" t="inlineStr">
        <is>
          <t>풍속·온도 연동</t>
        </is>
      </c>
      <c r="F173" s="28" t="inlineStr">
        <is>
          <t>-</t>
        </is>
      </c>
      <c r="G173" s="27" t="inlineStr">
        <is>
          <t>식</t>
        </is>
      </c>
      <c r="H173" s="29" t="n">
        <v>1</v>
      </c>
      <c r="I173" s="30" t="n">
        <v>60000000</v>
      </c>
      <c r="J173" s="31">
        <f>H173*I173</f>
        <v/>
      </c>
      <c r="K173" s="30">
        <f>ROUND(J173/'05.전제조건'!$C$5,0)</f>
        <v/>
      </c>
      <c r="L173" s="27" t="inlineStr">
        <is>
          <t>본안</t>
        </is>
      </c>
      <c r="M173" s="27" t="inlineStr">
        <is>
          <t>무상(KOICA)</t>
        </is>
      </c>
      <c r="N173" s="28" t="inlineStr">
        <is>
          <t>-</t>
        </is>
      </c>
    </row>
    <row r="174" ht="30" customHeight="1">
      <c r="A174" s="27" t="n">
        <v>170</v>
      </c>
      <c r="B174" s="28" t="inlineStr">
        <is>
          <t>J. ICT·스마트팜</t>
        </is>
      </c>
      <c r="C174" s="28" t="inlineStr">
        <is>
          <t>스마트팜 제어설비</t>
        </is>
      </c>
      <c r="D174" s="28" t="inlineStr">
        <is>
          <t>워크오버 자동 체중측정기</t>
        </is>
      </c>
      <c r="E174" s="28" t="inlineStr">
        <is>
          <t>착유 동선 상 자동 계측</t>
        </is>
      </c>
      <c r="F174" s="28" t="inlineStr">
        <is>
          <t>-</t>
        </is>
      </c>
      <c r="G174" s="27" t="inlineStr">
        <is>
          <t>대</t>
        </is>
      </c>
      <c r="H174" s="29" t="n">
        <v>1</v>
      </c>
      <c r="I174" s="30" t="n">
        <v>18000000</v>
      </c>
      <c r="J174" s="31">
        <f>H174*I174</f>
        <v/>
      </c>
      <c r="K174" s="30">
        <f>ROUND(J174/'05.전제조건'!$C$5,0)</f>
        <v/>
      </c>
      <c r="L174" s="27" t="inlineStr">
        <is>
          <t>본안</t>
        </is>
      </c>
      <c r="M174" s="27" t="inlineStr">
        <is>
          <t>무상(KOICA)</t>
        </is>
      </c>
      <c r="N174" s="28" t="inlineStr">
        <is>
          <t>체중변화 = 대사질병 조기지표</t>
        </is>
      </c>
    </row>
    <row r="175" ht="30" customHeight="1">
      <c r="A175" s="27" t="n">
        <v>171</v>
      </c>
      <c r="B175" s="28" t="inlineStr">
        <is>
          <t>J. ICT·스마트팜</t>
        </is>
      </c>
      <c r="C175" s="28" t="inlineStr">
        <is>
          <t>스마트팜 제어설비</t>
        </is>
      </c>
      <c r="D175" s="28" t="inlineStr">
        <is>
          <t>개체별 유량·전도도·성분 센서 (팔러 연동)</t>
        </is>
      </c>
      <c r="E175" s="28" t="inlineStr">
        <is>
          <t>16유닛 / 유방염 조기감지</t>
        </is>
      </c>
      <c r="F175" s="28" t="inlineStr">
        <is>
          <t>-</t>
        </is>
      </c>
      <c r="G175" s="27" t="inlineStr">
        <is>
          <t>식</t>
        </is>
      </c>
      <c r="H175" s="29" t="n">
        <v>1</v>
      </c>
      <c r="I175" s="30" t="n">
        <v>60000000</v>
      </c>
      <c r="J175" s="31">
        <f>H175*I175</f>
        <v/>
      </c>
      <c r="K175" s="30">
        <f>ROUND(J175/'05.전제조건'!$C$5,0)</f>
        <v/>
      </c>
      <c r="L175" s="27" t="inlineStr">
        <is>
          <t>본안</t>
        </is>
      </c>
      <c r="M175" s="27" t="inlineStr">
        <is>
          <t>무상(KOICA)</t>
        </is>
      </c>
      <c r="N175" s="28" t="inlineStr">
        <is>
          <t>-</t>
        </is>
      </c>
    </row>
    <row r="176" ht="30" customHeight="1">
      <c r="A176" s="27" t="n">
        <v>172</v>
      </c>
      <c r="B176" s="28" t="inlineStr">
        <is>
          <t>J. ICT·스마트팜</t>
        </is>
      </c>
      <c r="C176" s="28" t="inlineStr">
        <is>
          <t>스마트팜 제어설비</t>
        </is>
      </c>
      <c r="D176" s="28" t="inlineStr">
        <is>
          <t>영상 AI 카메라 (체형·보행·행동 분석) 16채널</t>
        </is>
      </c>
      <c r="E176" s="28" t="inlineStr">
        <is>
          <t>BCS·파행 자동판정</t>
        </is>
      </c>
      <c r="F176" s="28" t="inlineStr">
        <is>
          <t>-</t>
        </is>
      </c>
      <c r="G176" s="27" t="inlineStr">
        <is>
          <t>식</t>
        </is>
      </c>
      <c r="H176" s="29" t="n">
        <v>1</v>
      </c>
      <c r="I176" s="30" t="n">
        <v>60000000</v>
      </c>
      <c r="J176" s="31">
        <f>H176*I176</f>
        <v/>
      </c>
      <c r="K176" s="30">
        <f>ROUND(J176/'05.전제조건'!$C$5,0)</f>
        <v/>
      </c>
      <c r="L176" s="27" t="inlineStr">
        <is>
          <t>본안</t>
        </is>
      </c>
      <c r="M176" s="27" t="inlineStr">
        <is>
          <t>민간(제네틱스·D2O)</t>
        </is>
      </c>
      <c r="N176" s="28" t="inlineStr">
        <is>
          <t>-</t>
        </is>
      </c>
    </row>
    <row r="177" ht="30" customHeight="1">
      <c r="A177" s="27" t="n">
        <v>173</v>
      </c>
      <c r="B177" s="28" t="inlineStr">
        <is>
          <t>J. ICT·스마트팜</t>
        </is>
      </c>
      <c r="C177" s="28" t="inlineStr">
        <is>
          <t>플랫폼</t>
        </is>
      </c>
      <c r="D177" s="28" t="inlineStr">
        <is>
          <t>CowTalk AI 플랫폼 현지화 구축</t>
        </is>
      </c>
      <c r="E177" s="28" t="inlineStr">
        <is>
          <t>우즈벡어·러시아어 UI / 발정·분만·질병 예측 / 농장·수의사 대시보드 / 알림</t>
        </is>
      </c>
      <c r="F177" s="28" t="inlineStr">
        <is>
          <t>CowTalk AI</t>
        </is>
      </c>
      <c r="G177" s="27" t="inlineStr">
        <is>
          <t>식</t>
        </is>
      </c>
      <c r="H177" s="29" t="n">
        <v>1</v>
      </c>
      <c r="I177" s="30" t="n">
        <v>300000000</v>
      </c>
      <c r="J177" s="31">
        <f>H177*I177</f>
        <v/>
      </c>
      <c r="K177" s="30">
        <f>ROUND(J177/'05.전제조건'!$C$5,0)</f>
        <v/>
      </c>
      <c r="L177" s="27" t="inlineStr">
        <is>
          <t>본안</t>
        </is>
      </c>
      <c r="M177" s="27" t="inlineStr">
        <is>
          <t>민간(제네틱스·D2O)</t>
        </is>
      </c>
      <c r="N177" s="34" t="inlineStr">
        <is>
          <t>★★★ 본 사업의 소프트파워 핵심 — 우즈벡 CowTalk 파일럿(약 50두) 성과를 본 사업에서 확대 검증</t>
        </is>
      </c>
    </row>
    <row r="178" ht="30" customHeight="1">
      <c r="A178" s="27" t="n">
        <v>174</v>
      </c>
      <c r="B178" s="28" t="inlineStr">
        <is>
          <t>J. ICT·스마트팜</t>
        </is>
      </c>
      <c r="C178" s="28" t="inlineStr">
        <is>
          <t>플랫폼</t>
        </is>
      </c>
      <c r="D178" s="28" t="inlineStr">
        <is>
          <t>Eco-BIT 정부 대시보드 구축</t>
        </is>
      </c>
      <c r="E178" s="28" t="inlineStr">
        <is>
          <t>우즈벡 축산당국·주정부 연계 / 사육·방역·생산·탄소 통계</t>
        </is>
      </c>
      <c r="F178" s="28" t="inlineStr">
        <is>
          <t>Eco-BIT</t>
        </is>
      </c>
      <c r="G178" s="27" t="inlineStr">
        <is>
          <t>식</t>
        </is>
      </c>
      <c r="H178" s="29" t="n">
        <v>1</v>
      </c>
      <c r="I178" s="30" t="n">
        <v>150000000</v>
      </c>
      <c r="J178" s="31">
        <f>H178*I178</f>
        <v/>
      </c>
      <c r="K178" s="30">
        <f>ROUND(J178/'05.전제조건'!$C$5,0)</f>
        <v/>
      </c>
      <c r="L178" s="27" t="inlineStr">
        <is>
          <t>본안</t>
        </is>
      </c>
      <c r="M178" s="27" t="inlineStr">
        <is>
          <t>민간(제네틱스·D2O)</t>
        </is>
      </c>
      <c r="N178" s="34" t="inlineStr">
        <is>
          <t>★★★ 국가 축산행정 시스템으로 확장하는 진입점</t>
        </is>
      </c>
    </row>
    <row r="179" ht="30" customHeight="1">
      <c r="A179" s="27" t="n">
        <v>175</v>
      </c>
      <c r="B179" s="28" t="inlineStr">
        <is>
          <t>J. ICT·스마트팜</t>
        </is>
      </c>
      <c r="C179" s="28" t="inlineStr">
        <is>
          <t>플랫폼</t>
        </is>
      </c>
      <c r="D179" s="28" t="inlineStr">
        <is>
          <t>서버·스토리지·네트워크·보안 (온프레미스 + 클라우드 이중화)</t>
        </is>
      </c>
      <c r="E179" s="28" t="inlineStr">
        <is>
          <t>-</t>
        </is>
      </c>
      <c r="F179" s="28" t="inlineStr">
        <is>
          <t>-</t>
        </is>
      </c>
      <c r="G179" s="27" t="inlineStr">
        <is>
          <t>식</t>
        </is>
      </c>
      <c r="H179" s="29" t="n">
        <v>1</v>
      </c>
      <c r="I179" s="30" t="n">
        <v>90000000</v>
      </c>
      <c r="J179" s="31">
        <f>H179*I179</f>
        <v/>
      </c>
      <c r="K179" s="30">
        <f>ROUND(J179/'05.전제조건'!$C$5,0)</f>
        <v/>
      </c>
      <c r="L179" s="27" t="inlineStr">
        <is>
          <t>본안</t>
        </is>
      </c>
      <c r="M179" s="27" t="inlineStr">
        <is>
          <t>무상(KOICA)</t>
        </is>
      </c>
      <c r="N179" s="28" t="inlineStr">
        <is>
          <t>-</t>
        </is>
      </c>
    </row>
    <row r="180" ht="30" customHeight="1">
      <c r="A180" s="27" t="n">
        <v>176</v>
      </c>
      <c r="B180" s="28" t="inlineStr">
        <is>
          <t>J. ICT·스마트팜</t>
        </is>
      </c>
      <c r="C180" s="28" t="inlineStr">
        <is>
          <t>플랫폼</t>
        </is>
      </c>
      <c r="D180" s="28" t="inlineStr">
        <is>
          <t>현장 단말 (산업용 PC·대형 모니터·관제 콘솔)</t>
        </is>
      </c>
      <c r="E180" s="28" t="inlineStr">
        <is>
          <t>-</t>
        </is>
      </c>
      <c r="F180" s="28" t="inlineStr">
        <is>
          <t>-</t>
        </is>
      </c>
      <c r="G180" s="27" t="inlineStr">
        <is>
          <t>식</t>
        </is>
      </c>
      <c r="H180" s="29" t="n">
        <v>1</v>
      </c>
      <c r="I180" s="30" t="n">
        <v>35000000</v>
      </c>
      <c r="J180" s="31">
        <f>H180*I180</f>
        <v/>
      </c>
      <c r="K180" s="30">
        <f>ROUND(J180/'05.전제조건'!$C$5,0)</f>
        <v/>
      </c>
      <c r="L180" s="27" t="inlineStr">
        <is>
          <t>본안</t>
        </is>
      </c>
      <c r="M180" s="27" t="inlineStr">
        <is>
          <t>무상(KOICA)</t>
        </is>
      </c>
      <c r="N180" s="28" t="inlineStr">
        <is>
          <t>-</t>
        </is>
      </c>
    </row>
    <row r="181" ht="30" customHeight="1">
      <c r="A181" s="27" t="n">
        <v>177</v>
      </c>
      <c r="B181" s="28" t="inlineStr">
        <is>
          <t>J. ICT·스마트팜</t>
        </is>
      </c>
      <c r="C181" s="28" t="inlineStr">
        <is>
          <t>플랫폼</t>
        </is>
      </c>
      <c r="D181" s="28" t="inlineStr">
        <is>
          <t>3년 데이터 운영·유지보수 (원격지원·모델 튜닝)</t>
        </is>
      </c>
      <c r="E181" s="28" t="inlineStr">
        <is>
          <t>-</t>
        </is>
      </c>
      <c r="F181" s="28" t="inlineStr">
        <is>
          <t>-</t>
        </is>
      </c>
      <c r="G181" s="27" t="inlineStr">
        <is>
          <t>식</t>
        </is>
      </c>
      <c r="H181" s="29" t="n">
        <v>1</v>
      </c>
      <c r="I181" s="30" t="n">
        <v>120000000</v>
      </c>
      <c r="J181" s="31">
        <f>H181*I181</f>
        <v/>
      </c>
      <c r="K181" s="30">
        <f>ROUND(J181/'05.전제조건'!$C$5,0)</f>
        <v/>
      </c>
      <c r="L181" s="27" t="inlineStr">
        <is>
          <t>본안</t>
        </is>
      </c>
      <c r="M181" s="27" t="inlineStr">
        <is>
          <t>민간(제네틱스·D2O)</t>
        </is>
      </c>
      <c r="N181" s="28" t="inlineStr">
        <is>
          <t>-</t>
        </is>
      </c>
    </row>
    <row r="182" ht="30" customHeight="1">
      <c r="A182" s="27" t="n">
        <v>178</v>
      </c>
      <c r="B182" s="28" t="inlineStr">
        <is>
          <t>J. ICT·스마트팜</t>
        </is>
      </c>
      <c r="C182" s="28" t="inlineStr">
        <is>
          <t>태양광 발전 시설(패널, 구조물 등)</t>
        </is>
      </c>
      <c r="D182" s="28" t="inlineStr">
        <is>
          <t>태양광 발전설비 300kW (축사·유가공 지붕형)</t>
        </is>
      </c>
      <c r="E182" s="28" t="inlineStr">
        <is>
          <t>지붕 일체형, 계통연계</t>
        </is>
      </c>
      <c r="F182" s="28" t="inlineStr">
        <is>
          <t>-</t>
        </is>
      </c>
      <c r="G182" s="27" t="inlineStr">
        <is>
          <t>식</t>
        </is>
      </c>
      <c r="H182" s="29" t="n">
        <v>1</v>
      </c>
      <c r="I182" s="30" t="n">
        <v>400000000</v>
      </c>
      <c r="J182" s="31">
        <f>H182*I182</f>
        <v/>
      </c>
      <c r="K182" s="30">
        <f>ROUND(J182/'05.전제조건'!$C$5,0)</f>
        <v/>
      </c>
      <c r="L182" s="27" t="inlineStr">
        <is>
          <t>본안</t>
        </is>
      </c>
      <c r="M182" s="27" t="inlineStr">
        <is>
          <t>차관·현지부담</t>
        </is>
      </c>
      <c r="N182" s="28" t="inlineStr">
        <is>
          <t>★ 원본 리스트 반영. 우즈벡 일사량 우수 — 유가공 전력비 절감 직결</t>
        </is>
      </c>
    </row>
    <row r="183" ht="30" customHeight="1">
      <c r="A183" s="27" t="n">
        <v>179</v>
      </c>
      <c r="B183" s="28" t="inlineStr">
        <is>
          <t>J. ICT·스마트팜</t>
        </is>
      </c>
      <c r="C183" s="28" t="inlineStr">
        <is>
          <t>태양광 발전 시설(패널, 구조물 등)</t>
        </is>
      </c>
      <c r="D183" s="28" t="inlineStr">
        <is>
          <t>[옵션] ESS 200kWh</t>
        </is>
      </c>
      <c r="E183" s="28" t="inlineStr">
        <is>
          <t>정전 대응 + 피크저감</t>
        </is>
      </c>
      <c r="F183" s="28" t="inlineStr">
        <is>
          <t>-</t>
        </is>
      </c>
      <c r="G183" s="27" t="inlineStr">
        <is>
          <t>식</t>
        </is>
      </c>
      <c r="H183" s="29" t="n">
        <v>1</v>
      </c>
      <c r="I183" s="30" t="n">
        <v>150000000</v>
      </c>
      <c r="J183" s="31">
        <f>H183*I183</f>
        <v/>
      </c>
      <c r="K183" s="30">
        <f>ROUND(J183/'05.전제조건'!$C$5,0)</f>
        <v/>
      </c>
      <c r="L183" s="32" t="inlineStr">
        <is>
          <t>옵션</t>
        </is>
      </c>
      <c r="M183" s="27" t="inlineStr">
        <is>
          <t>차관·현지부담</t>
        </is>
      </c>
      <c r="N183" s="28" t="inlineStr">
        <is>
          <t>실험실·냉장창고 무정전 보강</t>
        </is>
      </c>
    </row>
    <row r="184" ht="30" customHeight="1">
      <c r="A184" s="20" t="n">
        <v>180</v>
      </c>
      <c r="B184" s="21" t="inlineStr">
        <is>
          <t>K. 교육훈련·기술전수</t>
        </is>
      </c>
      <c r="C184" s="21" t="inlineStr">
        <is>
          <t>교육훈련</t>
        </is>
      </c>
      <c r="D184" s="21" t="inlineStr">
        <is>
          <t>현지 기술인력 한국 초청연수 (2주 × 20명 × 3회)</t>
        </is>
      </c>
      <c r="E184" s="21" t="inlineStr">
        <is>
          <t>제네틱스·송영신목장·한국동물병원 현장연수</t>
        </is>
      </c>
      <c r="F184" s="21" t="inlineStr">
        <is>
          <t>-</t>
        </is>
      </c>
      <c r="G184" s="20" t="inlineStr">
        <is>
          <t>회</t>
        </is>
      </c>
      <c r="H184" s="22" t="n">
        <v>3</v>
      </c>
      <c r="I184" s="23" t="n">
        <v>80000000</v>
      </c>
      <c r="J184" s="24">
        <f>H184*I184</f>
        <v/>
      </c>
      <c r="K184" s="23">
        <f>ROUND(J184/'05.전제조건'!$C$5,0)</f>
        <v/>
      </c>
      <c r="L184" s="20" t="inlineStr">
        <is>
          <t>본안</t>
        </is>
      </c>
      <c r="M184" s="20" t="inlineStr">
        <is>
          <t>무상(KOICA)</t>
        </is>
      </c>
      <c r="N184" s="21" t="inlineStr">
        <is>
          <t>★ 원본 '교육훈련' 대분류 구체화</t>
        </is>
      </c>
    </row>
    <row r="185" ht="30" customHeight="1">
      <c r="A185" s="20" t="n">
        <v>181</v>
      </c>
      <c r="B185" s="21" t="inlineStr">
        <is>
          <t>K. 교육훈련·기술전수</t>
        </is>
      </c>
      <c r="C185" s="21" t="inlineStr">
        <is>
          <t>교육훈련</t>
        </is>
      </c>
      <c r="D185" s="21" t="inlineStr">
        <is>
          <t>한국 전문가 파견 (수의·번식·유가공·ICT·환경) 연 6회 × 3년</t>
        </is>
      </c>
      <c r="E185" s="21" t="inlineStr">
        <is>
          <t>회당 2주 / 2~3인</t>
        </is>
      </c>
      <c r="F185" s="21" t="inlineStr">
        <is>
          <t>-</t>
        </is>
      </c>
      <c r="G185" s="20" t="inlineStr">
        <is>
          <t>식</t>
        </is>
      </c>
      <c r="H185" s="22" t="n">
        <v>1</v>
      </c>
      <c r="I185" s="23" t="n">
        <v>300000000</v>
      </c>
      <c r="J185" s="24">
        <f>H185*I185</f>
        <v/>
      </c>
      <c r="K185" s="23">
        <f>ROUND(J185/'05.전제조건'!$C$5,0)</f>
        <v/>
      </c>
      <c r="L185" s="20" t="inlineStr">
        <is>
          <t>본안</t>
        </is>
      </c>
      <c r="M185" s="20" t="inlineStr">
        <is>
          <t>무상(KOICA)</t>
        </is>
      </c>
      <c r="N185" s="21" t="inlineStr">
        <is>
          <t>-</t>
        </is>
      </c>
    </row>
    <row r="186" ht="30" customHeight="1">
      <c r="A186" s="20" t="n">
        <v>182</v>
      </c>
      <c r="B186" s="21" t="inlineStr">
        <is>
          <t>K. 교육훈련·기술전수</t>
        </is>
      </c>
      <c r="C186" s="21" t="inlineStr">
        <is>
          <t>교육훈련</t>
        </is>
      </c>
      <c r="D186" s="21" t="inlineStr">
        <is>
          <t>현지 상주 전문가 (PM 1명 + 기술 1명, 36개월)</t>
        </is>
      </c>
      <c r="E186" s="21" t="inlineStr">
        <is>
          <t>사업관리 + 기술지도 상주</t>
        </is>
      </c>
      <c r="F186" s="21" t="inlineStr">
        <is>
          <t>-</t>
        </is>
      </c>
      <c r="G186" s="20" t="inlineStr">
        <is>
          <t>식</t>
        </is>
      </c>
      <c r="H186" s="22" t="n">
        <v>1</v>
      </c>
      <c r="I186" s="23" t="n">
        <v>450000000</v>
      </c>
      <c r="J186" s="24">
        <f>H186*I186</f>
        <v/>
      </c>
      <c r="K186" s="23">
        <f>ROUND(J186/'05.전제조건'!$C$5,0)</f>
        <v/>
      </c>
      <c r="L186" s="20" t="inlineStr">
        <is>
          <t>본안</t>
        </is>
      </c>
      <c r="M186" s="20" t="inlineStr">
        <is>
          <t>무상(KOICA)</t>
        </is>
      </c>
      <c r="N186" s="21" t="inlineStr">
        <is>
          <t>★ ODA 성패는 상주 인력에서 갈림</t>
        </is>
      </c>
    </row>
    <row r="187" ht="30" customHeight="1">
      <c r="A187" s="20" t="n">
        <v>183</v>
      </c>
      <c r="B187" s="21" t="inlineStr">
        <is>
          <t>K. 교육훈련·기술전수</t>
        </is>
      </c>
      <c r="C187" s="21" t="inlineStr">
        <is>
          <t>교육훈련</t>
        </is>
      </c>
      <c r="D187" s="21" t="inlineStr">
        <is>
          <t>교육모듈 ① 사료 관리</t>
        </is>
      </c>
      <c r="E187" s="21" t="inlineStr">
        <is>
          <t>TMR 배합·조사료 품질·급이 프로그램 (교재·SOP·실습)</t>
        </is>
      </c>
      <c r="F187" s="21" t="inlineStr">
        <is>
          <t>-</t>
        </is>
      </c>
      <c r="G187" s="20" t="inlineStr">
        <is>
          <t>식</t>
        </is>
      </c>
      <c r="H187" s="22" t="n">
        <v>1</v>
      </c>
      <c r="I187" s="23" t="n">
        <v>15000000</v>
      </c>
      <c r="J187" s="24">
        <f>H187*I187</f>
        <v/>
      </c>
      <c r="K187" s="23">
        <f>ROUND(J187/'05.전제조건'!$C$5,0)</f>
        <v/>
      </c>
      <c r="L187" s="20" t="inlineStr">
        <is>
          <t>본안</t>
        </is>
      </c>
      <c r="M187" s="20" t="inlineStr">
        <is>
          <t>무상(KOICA)</t>
        </is>
      </c>
      <c r="N187" s="21" t="inlineStr">
        <is>
          <t>★ 원본 '사료 관리' 항목 구체화</t>
        </is>
      </c>
    </row>
    <row r="188" ht="30" customHeight="1">
      <c r="A188" s="20" t="n">
        <v>184</v>
      </c>
      <c r="B188" s="21" t="inlineStr">
        <is>
          <t>K. 교육훈련·기술전수</t>
        </is>
      </c>
      <c r="C188" s="21" t="inlineStr">
        <is>
          <t>교육훈련</t>
        </is>
      </c>
      <c r="D188" s="21" t="inlineStr">
        <is>
          <t>교육모듈 ② 개체 이력 관리</t>
        </is>
      </c>
      <c r="E188" s="21" t="inlineStr">
        <is>
          <t>개체등록·혈통·번식기록·CowTalk 데이터 입력</t>
        </is>
      </c>
      <c r="F188" s="21" t="inlineStr">
        <is>
          <t>-</t>
        </is>
      </c>
      <c r="G188" s="20" t="inlineStr">
        <is>
          <t>식</t>
        </is>
      </c>
      <c r="H188" s="22" t="n">
        <v>1</v>
      </c>
      <c r="I188" s="23" t="n">
        <v>15000000</v>
      </c>
      <c r="J188" s="24">
        <f>H188*I188</f>
        <v/>
      </c>
      <c r="K188" s="23">
        <f>ROUND(J188/'05.전제조건'!$C$5,0)</f>
        <v/>
      </c>
      <c r="L188" s="20" t="inlineStr">
        <is>
          <t>본안</t>
        </is>
      </c>
      <c r="M188" s="20" t="inlineStr">
        <is>
          <t>무상(KOICA)</t>
        </is>
      </c>
      <c r="N188" s="21" t="inlineStr">
        <is>
          <t>★ 원본 '개체 이력 관리' 항목 구체화</t>
        </is>
      </c>
    </row>
    <row r="189" ht="30" customHeight="1">
      <c r="A189" s="20" t="n">
        <v>185</v>
      </c>
      <c r="B189" s="21" t="inlineStr">
        <is>
          <t>K. 교육훈련·기술전수</t>
        </is>
      </c>
      <c r="C189" s="21" t="inlineStr">
        <is>
          <t>교육훈련</t>
        </is>
      </c>
      <c r="D189" s="21" t="inlineStr">
        <is>
          <t>교육모듈 ③ 위생 / 방역</t>
        </is>
      </c>
      <c r="E189" s="21" t="inlineStr">
        <is>
          <t>착유위생·유방염·소독·질병 신고체계</t>
        </is>
      </c>
      <c r="F189" s="21" t="inlineStr">
        <is>
          <t>-</t>
        </is>
      </c>
      <c r="G189" s="20" t="inlineStr">
        <is>
          <t>식</t>
        </is>
      </c>
      <c r="H189" s="22" t="n">
        <v>1</v>
      </c>
      <c r="I189" s="23" t="n">
        <v>15000000</v>
      </c>
      <c r="J189" s="24">
        <f>H189*I189</f>
        <v/>
      </c>
      <c r="K189" s="23">
        <f>ROUND(J189/'05.전제조건'!$C$5,0)</f>
        <v/>
      </c>
      <c r="L189" s="20" t="inlineStr">
        <is>
          <t>본안</t>
        </is>
      </c>
      <c r="M189" s="20" t="inlineStr">
        <is>
          <t>무상(KOICA)</t>
        </is>
      </c>
      <c r="N189" s="21" t="inlineStr">
        <is>
          <t>★ 원본 '위생/방역' 항목 구체화</t>
        </is>
      </c>
    </row>
    <row r="190" ht="30" customHeight="1">
      <c r="A190" s="20" t="n">
        <v>186</v>
      </c>
      <c r="B190" s="21" t="inlineStr">
        <is>
          <t>K. 교육훈련·기술전수</t>
        </is>
      </c>
      <c r="C190" s="21" t="inlineStr">
        <is>
          <t>교육훈련</t>
        </is>
      </c>
      <c r="D190" s="21" t="inlineStr">
        <is>
          <t>교육모듈 ④ 유통 / 품질 관리</t>
        </is>
      </c>
      <c r="E190" s="21" t="inlineStr">
        <is>
          <t>콜드체인·HACCP·유통기한·라벨 규정</t>
        </is>
      </c>
      <c r="F190" s="21" t="inlineStr">
        <is>
          <t>-</t>
        </is>
      </c>
      <c r="G190" s="20" t="inlineStr">
        <is>
          <t>식</t>
        </is>
      </c>
      <c r="H190" s="22" t="n">
        <v>1</v>
      </c>
      <c r="I190" s="23" t="n">
        <v>15000000</v>
      </c>
      <c r="J190" s="24">
        <f>H190*I190</f>
        <v/>
      </c>
      <c r="K190" s="23">
        <f>ROUND(J190/'05.전제조건'!$C$5,0)</f>
        <v/>
      </c>
      <c r="L190" s="20" t="inlineStr">
        <is>
          <t>본안</t>
        </is>
      </c>
      <c r="M190" s="20" t="inlineStr">
        <is>
          <t>무상(KOICA)</t>
        </is>
      </c>
      <c r="N190" s="21" t="inlineStr">
        <is>
          <t>★ 원본 '유통/품질 관리' 항목 구체화</t>
        </is>
      </c>
    </row>
    <row r="191" ht="30" customHeight="1">
      <c r="A191" s="20" t="n">
        <v>187</v>
      </c>
      <c r="B191" s="21" t="inlineStr">
        <is>
          <t>K. 교육훈련·기술전수</t>
        </is>
      </c>
      <c r="C191" s="21" t="inlineStr">
        <is>
          <t>교육훈련</t>
        </is>
      </c>
      <c r="D191" s="21" t="inlineStr">
        <is>
          <t>교재·SOP 매뉴얼 제작 (우즈벡어·러시아어·영어)</t>
        </is>
      </c>
      <c r="E191" s="21" t="inlineStr">
        <is>
          <t>4개 모듈 + 장비 운영 매뉴얼</t>
        </is>
      </c>
      <c r="F191" s="21" t="inlineStr">
        <is>
          <t>-</t>
        </is>
      </c>
      <c r="G191" s="20" t="inlineStr">
        <is>
          <t>식</t>
        </is>
      </c>
      <c r="H191" s="22" t="n">
        <v>1</v>
      </c>
      <c r="I191" s="23" t="n">
        <v>60000000</v>
      </c>
      <c r="J191" s="24">
        <f>H191*I191</f>
        <v/>
      </c>
      <c r="K191" s="23">
        <f>ROUND(J191/'05.전제조건'!$C$5,0)</f>
        <v/>
      </c>
      <c r="L191" s="20" t="inlineStr">
        <is>
          <t>본안</t>
        </is>
      </c>
      <c r="M191" s="20" t="inlineStr">
        <is>
          <t>무상(KOICA)</t>
        </is>
      </c>
      <c r="N191" s="21" t="inlineStr">
        <is>
          <t>-</t>
        </is>
      </c>
    </row>
    <row r="192" ht="30" customHeight="1">
      <c r="A192" s="20" t="n">
        <v>188</v>
      </c>
      <c r="B192" s="21" t="inlineStr">
        <is>
          <t>K. 교육훈련·기술전수</t>
        </is>
      </c>
      <c r="C192" s="21" t="inlineStr">
        <is>
          <t>기술전수 및 보급</t>
        </is>
      </c>
      <c r="D192" s="21" t="inlineStr">
        <is>
          <t>수정란이식 기술 전수 인증과정 (현지 수의사 30명)</t>
        </is>
      </c>
      <c r="E192" s="21" t="inlineStr">
        <is>
          <t>이론 + 실습 + 인증평가, 3년 3기수</t>
        </is>
      </c>
      <c r="F192" s="21" t="inlineStr">
        <is>
          <t>-</t>
        </is>
      </c>
      <c r="G192" s="20" t="inlineStr">
        <is>
          <t>식</t>
        </is>
      </c>
      <c r="H192" s="22" t="n">
        <v>1</v>
      </c>
      <c r="I192" s="23" t="n">
        <v>120000000</v>
      </c>
      <c r="J192" s="24">
        <f>H192*I192</f>
        <v/>
      </c>
      <c r="K192" s="23">
        <f>ROUND(J192/'05.전제조건'!$C$5,0)</f>
        <v/>
      </c>
      <c r="L192" s="20" t="inlineStr">
        <is>
          <t>본안</t>
        </is>
      </c>
      <c r="M192" s="20" t="inlineStr">
        <is>
          <t>무상(KOICA)</t>
        </is>
      </c>
      <c r="N192" s="21" t="inlineStr">
        <is>
          <t>★ 원본 '기술전수 및 보급' 대분류 구체화 — 현지 자립의 핵심</t>
        </is>
      </c>
    </row>
    <row r="193" ht="30" customHeight="1">
      <c r="A193" s="20" t="n">
        <v>189</v>
      </c>
      <c r="B193" s="21" t="inlineStr">
        <is>
          <t>K. 교육훈련·기술전수</t>
        </is>
      </c>
      <c r="C193" s="21" t="inlineStr">
        <is>
          <t>기술전수 및 보급</t>
        </is>
      </c>
      <c r="D193" s="21" t="inlineStr">
        <is>
          <t>유가공 기술 전수 (제품 R&amp;D·레시피 현지화)</t>
        </is>
      </c>
      <c r="E193" s="21" t="inlineStr">
        <is>
          <t>카이막·요거트·치즈 현지 입맛 최적화</t>
        </is>
      </c>
      <c r="F193" s="21" t="inlineStr">
        <is>
          <t>-</t>
        </is>
      </c>
      <c r="G193" s="20" t="inlineStr">
        <is>
          <t>식</t>
        </is>
      </c>
      <c r="H193" s="22" t="n">
        <v>1</v>
      </c>
      <c r="I193" s="23" t="n">
        <v>90000000</v>
      </c>
      <c r="J193" s="24">
        <f>H193*I193</f>
        <v/>
      </c>
      <c r="K193" s="23">
        <f>ROUND(J193/'05.전제조건'!$C$5,0)</f>
        <v/>
      </c>
      <c r="L193" s="20" t="inlineStr">
        <is>
          <t>본안</t>
        </is>
      </c>
      <c r="M193" s="20" t="inlineStr">
        <is>
          <t>무상(KOICA)</t>
        </is>
      </c>
      <c r="N193" s="21" t="inlineStr">
        <is>
          <t>★ 송영신목장 제품기술 이식</t>
        </is>
      </c>
    </row>
    <row r="194" ht="30" customHeight="1">
      <c r="A194" s="20" t="n">
        <v>190</v>
      </c>
      <c r="B194" s="21" t="inlineStr">
        <is>
          <t>K. 교육훈련·기술전수</t>
        </is>
      </c>
      <c r="C194" s="21" t="inlineStr">
        <is>
          <t>기술전수 및 보급</t>
        </is>
      </c>
      <c r="D194" s="21" t="inlineStr">
        <is>
          <t>현지 워크숍·시연회·기술보급 행사 (6회)</t>
        </is>
      </c>
      <c r="E194" s="21" t="inlineStr">
        <is>
          <t>인근 농가·정부 관계자 대상</t>
        </is>
      </c>
      <c r="F194" s="21" t="inlineStr">
        <is>
          <t>-</t>
        </is>
      </c>
      <c r="G194" s="20" t="inlineStr">
        <is>
          <t>회</t>
        </is>
      </c>
      <c r="H194" s="22" t="n">
        <v>6</v>
      </c>
      <c r="I194" s="23" t="n">
        <v>15000000</v>
      </c>
      <c r="J194" s="24">
        <f>H194*I194</f>
        <v/>
      </c>
      <c r="K194" s="23">
        <f>ROUND(J194/'05.전제조건'!$C$5,0)</f>
        <v/>
      </c>
      <c r="L194" s="20" t="inlineStr">
        <is>
          <t>본안</t>
        </is>
      </c>
      <c r="M194" s="20" t="inlineStr">
        <is>
          <t>무상(KOICA)</t>
        </is>
      </c>
      <c r="N194" s="21" t="inlineStr">
        <is>
          <t>확산(Scale-out) 기반 조성</t>
        </is>
      </c>
    </row>
    <row r="195" ht="30" customHeight="1">
      <c r="A195" s="20" t="n">
        <v>191</v>
      </c>
      <c r="B195" s="21" t="inlineStr">
        <is>
          <t>K. 교육훈련·기술전수</t>
        </is>
      </c>
      <c r="C195" s="21" t="inlineStr">
        <is>
          <t>기술전수 및 보급</t>
        </is>
      </c>
      <c r="D195" s="21" t="inlineStr">
        <is>
          <t>온라인 교육 플랫폼(LMS) + 영상 콘텐츠 제작</t>
        </is>
      </c>
      <c r="E195" s="21" t="inlineStr">
        <is>
          <t>우즈벡어·러시아어 자막</t>
        </is>
      </c>
      <c r="F195" s="21" t="inlineStr">
        <is>
          <t>-</t>
        </is>
      </c>
      <c r="G195" s="20" t="inlineStr">
        <is>
          <t>식</t>
        </is>
      </c>
      <c r="H195" s="22" t="n">
        <v>1</v>
      </c>
      <c r="I195" s="23" t="n">
        <v>60000000</v>
      </c>
      <c r="J195" s="24">
        <f>H195*I195</f>
        <v/>
      </c>
      <c r="K195" s="23">
        <f>ROUND(J195/'05.전제조건'!$C$5,0)</f>
        <v/>
      </c>
      <c r="L195" s="20" t="inlineStr">
        <is>
          <t>본안</t>
        </is>
      </c>
      <c r="M195" s="20" t="inlineStr">
        <is>
          <t>무상(KOICA)</t>
        </is>
      </c>
      <c r="N195" s="21" t="inlineStr">
        <is>
          <t>사업 종료 후 지속 확산 장치</t>
        </is>
      </c>
    </row>
    <row r="196" ht="30" customHeight="1">
      <c r="A196" s="27" t="n">
        <v>192</v>
      </c>
      <c r="B196" s="28" t="inlineStr">
        <is>
          <t>L. 사업관리·기타</t>
        </is>
      </c>
      <c r="C196" s="28" t="inlineStr">
        <is>
          <t>사업준비</t>
        </is>
      </c>
      <c r="D196" s="28" t="inlineStr">
        <is>
          <t>타당성조사(F/S)·기본계획 수립</t>
        </is>
      </c>
      <c r="E196" s="28" t="inlineStr">
        <is>
          <t>현지 실사, 수요조사, 경제성 분석</t>
        </is>
      </c>
      <c r="F196" s="28" t="inlineStr">
        <is>
          <t>-</t>
        </is>
      </c>
      <c r="G196" s="27" t="inlineStr">
        <is>
          <t>식</t>
        </is>
      </c>
      <c r="H196" s="29" t="n">
        <v>1</v>
      </c>
      <c r="I196" s="30" t="n">
        <v>150000000</v>
      </c>
      <c r="J196" s="31">
        <f>H196*I196</f>
        <v/>
      </c>
      <c r="K196" s="30">
        <f>ROUND(J196/'05.전제조건'!$C$5,0)</f>
        <v/>
      </c>
      <c r="L196" s="27" t="inlineStr">
        <is>
          <t>본안</t>
        </is>
      </c>
      <c r="M196" s="27" t="inlineStr">
        <is>
          <t>무상(KOICA)</t>
        </is>
      </c>
      <c r="N196" s="28" t="inlineStr">
        <is>
          <t>착수 전 필수</t>
        </is>
      </c>
    </row>
    <row r="197" ht="30" customHeight="1">
      <c r="A197" s="27" t="n">
        <v>193</v>
      </c>
      <c r="B197" s="28" t="inlineStr">
        <is>
          <t>L. 사업관리·기타</t>
        </is>
      </c>
      <c r="C197" s="28" t="inlineStr">
        <is>
          <t>사업준비</t>
        </is>
      </c>
      <c r="D197" s="28" t="inlineStr">
        <is>
          <t>현지 인허가·법인설립·검역·통관 대응</t>
        </is>
      </c>
      <c r="E197" s="28" t="inlineStr">
        <is>
          <t>수정란 수입허가, 유가공 영업허가, 장비 검역</t>
        </is>
      </c>
      <c r="F197" s="28" t="inlineStr">
        <is>
          <t>-</t>
        </is>
      </c>
      <c r="G197" s="27" t="inlineStr">
        <is>
          <t>식</t>
        </is>
      </c>
      <c r="H197" s="29" t="n">
        <v>1</v>
      </c>
      <c r="I197" s="30" t="n">
        <v>80000000</v>
      </c>
      <c r="J197" s="31">
        <f>H197*I197</f>
        <v/>
      </c>
      <c r="K197" s="30">
        <f>ROUND(J197/'05.전제조건'!$C$5,0)</f>
        <v/>
      </c>
      <c r="L197" s="27" t="inlineStr">
        <is>
          <t>본안</t>
        </is>
      </c>
      <c r="M197" s="27" t="inlineStr">
        <is>
          <t>무상(KOICA)</t>
        </is>
      </c>
      <c r="N197" s="28" t="inlineStr">
        <is>
          <t>★ 수정란 Export Permit·Health Certificate 사전 협의 필요</t>
        </is>
      </c>
    </row>
    <row r="198" ht="30" customHeight="1">
      <c r="A198" s="27" t="n">
        <v>194</v>
      </c>
      <c r="B198" s="28" t="inlineStr">
        <is>
          <t>L. 사업관리·기타</t>
        </is>
      </c>
      <c r="C198" s="28" t="inlineStr">
        <is>
          <t>물류</t>
        </is>
      </c>
      <c r="D198" s="28" t="inlineStr">
        <is>
          <t>국제운송·통관·보험 (기자재 CIF→DDP)</t>
        </is>
      </c>
      <c r="E198" s="28" t="inlineStr">
        <is>
          <t>한국→우즈벡 육상·항공 복합운송</t>
        </is>
      </c>
      <c r="F198" s="28" t="inlineStr">
        <is>
          <t>기자재비의 8%</t>
        </is>
      </c>
      <c r="G198" s="27" t="inlineStr">
        <is>
          <t>식</t>
        </is>
      </c>
      <c r="H198" s="29" t="n">
        <v>1</v>
      </c>
      <c r="I198" s="30">
        <f>J198</f>
        <v/>
      </c>
      <c r="J198" s="31">
        <f>ROUND(SUMIFS($J$18:$J$183,$L$18:$L$183,"본안")*0.08,-5)</f>
        <v/>
      </c>
      <c r="K198" s="30">
        <f>ROUND(J198/'05.전제조건'!$C$5,0)</f>
        <v/>
      </c>
      <c r="L198" s="27" t="inlineStr">
        <is>
          <t>본안</t>
        </is>
      </c>
      <c r="M198" s="27" t="inlineStr">
        <is>
          <t>무상(KOICA)</t>
        </is>
      </c>
      <c r="N198" s="28">
        <f>금액 자동계산(B~J군 본안 소계 × 8%). 내륙국 — 물류비 비중 높음</f>
        <v/>
      </c>
    </row>
    <row r="199" ht="30" customHeight="1">
      <c r="A199" s="27" t="n">
        <v>195</v>
      </c>
      <c r="B199" s="28" t="inlineStr">
        <is>
          <t>L. 사업관리·기타</t>
        </is>
      </c>
      <c r="C199" s="28" t="inlineStr">
        <is>
          <t>사후관리</t>
        </is>
      </c>
      <c r="D199" s="28" t="inlineStr">
        <is>
          <t>A/S 예비부품 초기재고 (2년분)</t>
        </is>
      </c>
      <c r="E199" s="28" t="inlineStr">
        <is>
          <t>핵심 장비 소모·고장 부품</t>
        </is>
      </c>
      <c r="F199" s="28" t="inlineStr">
        <is>
          <t>-</t>
        </is>
      </c>
      <c r="G199" s="27" t="inlineStr">
        <is>
          <t>식</t>
        </is>
      </c>
      <c r="H199" s="29" t="n">
        <v>1</v>
      </c>
      <c r="I199" s="30" t="n">
        <v>150000000</v>
      </c>
      <c r="J199" s="31">
        <f>H199*I199</f>
        <v/>
      </c>
      <c r="K199" s="30">
        <f>ROUND(J199/'05.전제조건'!$C$5,0)</f>
        <v/>
      </c>
      <c r="L199" s="27" t="inlineStr">
        <is>
          <t>본안</t>
        </is>
      </c>
      <c r="M199" s="27" t="inlineStr">
        <is>
          <t>무상(KOICA)</t>
        </is>
      </c>
      <c r="N199" s="28" t="inlineStr">
        <is>
          <t>★ 현지 부품 조달 곤란 — 예비재고가 가동률을 결정</t>
        </is>
      </c>
    </row>
    <row r="200" ht="30" customHeight="1">
      <c r="A200" s="27" t="n">
        <v>196</v>
      </c>
      <c r="B200" s="28" t="inlineStr">
        <is>
          <t>L. 사업관리·기타</t>
        </is>
      </c>
      <c r="C200" s="28" t="inlineStr">
        <is>
          <t>성과관리</t>
        </is>
      </c>
      <c r="D200" s="28" t="inlineStr">
        <is>
          <t>성과평가·모니터링 (베이스라인·중간·종료)</t>
        </is>
      </c>
      <c r="E200" s="28" t="inlineStr">
        <is>
          <t>산유량·수태율·소득·탄소 지표</t>
        </is>
      </c>
      <c r="F200" s="28" t="inlineStr">
        <is>
          <t>-</t>
        </is>
      </c>
      <c r="G200" s="27" t="inlineStr">
        <is>
          <t>식</t>
        </is>
      </c>
      <c r="H200" s="29" t="n">
        <v>1</v>
      </c>
      <c r="I200" s="30" t="n">
        <v>120000000</v>
      </c>
      <c r="J200" s="31">
        <f>H200*I200</f>
        <v/>
      </c>
      <c r="K200" s="30">
        <f>ROUND(J200/'05.전제조건'!$C$5,0)</f>
        <v/>
      </c>
      <c r="L200" s="27" t="inlineStr">
        <is>
          <t>본안</t>
        </is>
      </c>
      <c r="M200" s="27" t="inlineStr">
        <is>
          <t>무상(KOICA)</t>
        </is>
      </c>
      <c r="N200" s="28" t="inlineStr">
        <is>
          <t>-</t>
        </is>
      </c>
    </row>
    <row r="201" ht="30" customHeight="1">
      <c r="A201" s="27" t="n">
        <v>197</v>
      </c>
      <c r="B201" s="28" t="inlineStr">
        <is>
          <t>L. 사업관리·기타</t>
        </is>
      </c>
      <c r="C201" s="28" t="inlineStr">
        <is>
          <t>사업관리</t>
        </is>
      </c>
      <c r="D201" s="28" t="inlineStr">
        <is>
          <t>PMC 사업관리비 (36개월)</t>
        </is>
      </c>
      <c r="E201" s="28" t="inlineStr">
        <is>
          <t>총사업비의 4%</t>
        </is>
      </c>
      <c r="F201" s="28" t="inlineStr">
        <is>
          <t>-</t>
        </is>
      </c>
      <c r="G201" s="27" t="inlineStr">
        <is>
          <t>식</t>
        </is>
      </c>
      <c r="H201" s="29" t="n">
        <v>1</v>
      </c>
      <c r="I201" s="30">
        <f>J201</f>
        <v/>
      </c>
      <c r="J201" s="31">
        <f>ROUND(SUMIFS($J$5:$J$200,$L$5:$L$200,"본안")*0.04,-5)</f>
        <v/>
      </c>
      <c r="K201" s="30">
        <f>ROUND(J201/'05.전제조건'!$C$5,0)</f>
        <v/>
      </c>
      <c r="L201" s="27" t="inlineStr">
        <is>
          <t>본안</t>
        </is>
      </c>
      <c r="M201" s="27" t="inlineStr">
        <is>
          <t>무상(KOICA)</t>
        </is>
      </c>
      <c r="N201" s="28">
        <f>금액 자동계산(상위 본안 항목 합계 × 4%)</f>
        <v/>
      </c>
    </row>
    <row r="202" ht="30" customHeight="1">
      <c r="A202" s="27" t="n">
        <v>198</v>
      </c>
      <c r="B202" s="28" t="inlineStr">
        <is>
          <t>L. 사업관리·기타</t>
        </is>
      </c>
      <c r="C202" s="28" t="inlineStr">
        <is>
          <t>예비비</t>
        </is>
      </c>
      <c r="D202" s="28" t="inlineStr">
        <is>
          <t>예비비 (Contingency)</t>
        </is>
      </c>
      <c r="E202" s="28" t="inlineStr">
        <is>
          <t>총사업비의 5%</t>
        </is>
      </c>
      <c r="F202" s="28" t="inlineStr">
        <is>
          <t>-</t>
        </is>
      </c>
      <c r="G202" s="27" t="inlineStr">
        <is>
          <t>식</t>
        </is>
      </c>
      <c r="H202" s="29" t="n">
        <v>1</v>
      </c>
      <c r="I202" s="30">
        <f>J202</f>
        <v/>
      </c>
      <c r="J202" s="31">
        <f>ROUND(SUMIFS($J$5:$J$201,$L$5:$L$201,"본안")*0.05,-5)</f>
        <v/>
      </c>
      <c r="K202" s="30">
        <f>ROUND(J202/'05.전제조건'!$C$5,0)</f>
        <v/>
      </c>
      <c r="L202" s="27" t="inlineStr">
        <is>
          <t>본안</t>
        </is>
      </c>
      <c r="M202" s="27" t="inlineStr">
        <is>
          <t>무상(KOICA)</t>
        </is>
      </c>
      <c r="N202" s="28">
        <f>금액 자동계산(상위 본안 항목 합계 × 5%). 환율·물가 변동 대응</f>
        <v/>
      </c>
    </row>
    <row r="204" ht="24" customHeight="1">
      <c r="A204" s="35" t="n"/>
      <c r="B204" s="35" t="n"/>
      <c r="C204" s="35" t="n"/>
      <c r="D204" s="36" t="inlineStr">
        <is>
          <t>총 합 계  (본안 + 옵션)</t>
        </is>
      </c>
      <c r="E204" s="35" t="n"/>
      <c r="F204" s="35" t="n"/>
      <c r="G204" s="35" t="n"/>
      <c r="H204" s="35" t="n"/>
      <c r="I204" s="35" t="n"/>
      <c r="J204" s="37">
        <f>SUM(J5:J202)</f>
        <v/>
      </c>
      <c r="K204" s="37">
        <f>ROUND(J204/'05.전제조건'!$C$5,0)</f>
        <v/>
      </c>
      <c r="L204" s="35" t="n"/>
      <c r="M204" s="35" t="n"/>
      <c r="N204" s="35" t="n"/>
    </row>
    <row r="205" ht="24" customHeight="1">
      <c r="A205" s="38" t="n"/>
      <c r="B205" s="38" t="n"/>
      <c r="C205" s="38" t="n"/>
      <c r="D205" s="39" t="inlineStr">
        <is>
          <t>본안(옵션 제외) 소계</t>
        </is>
      </c>
      <c r="E205" s="38" t="n"/>
      <c r="F205" s="38" t="n"/>
      <c r="G205" s="38" t="n"/>
      <c r="H205" s="38" t="n"/>
      <c r="I205" s="38" t="n"/>
      <c r="J205" s="40">
        <f>SUMIF($L$5:$L$202,"본안",$J$5:$J$202)</f>
        <v/>
      </c>
      <c r="K205" s="40">
        <f>ROUND(J205/'05.전제조건'!$C$5,0)</f>
        <v/>
      </c>
      <c r="L205" s="38" t="n"/>
      <c r="M205" s="38" t="n"/>
      <c r="N205" s="38" t="n"/>
    </row>
    <row r="206" ht="24" customHeight="1">
      <c r="A206" s="41" t="n"/>
      <c r="B206" s="41" t="n"/>
      <c r="C206" s="41" t="n"/>
      <c r="D206" s="42" t="inlineStr">
        <is>
          <t>옵션 소계</t>
        </is>
      </c>
      <c r="E206" s="41" t="n"/>
      <c r="F206" s="41" t="n"/>
      <c r="G206" s="41" t="n"/>
      <c r="H206" s="41" t="n"/>
      <c r="I206" s="41" t="n"/>
      <c r="J206" s="43">
        <f>SUMIF($L$5:$L$202,"옵션",$J$5:$J$202)</f>
        <v/>
      </c>
      <c r="K206" s="43">
        <f>ROUND(J206/'05.전제조건'!$C$5,0)</f>
        <v/>
      </c>
      <c r="L206" s="41" t="n"/>
      <c r="M206" s="41" t="n"/>
      <c r="N206" s="41" t="n"/>
    </row>
  </sheetData>
  <autoFilter ref="A4:N2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24" customWidth="1" min="3" max="3"/>
    <col width="24" customWidth="1" min="4" max="4"/>
    <col width="20" customWidth="1" min="5" max="5"/>
    <col width="15" customWidth="1" min="6" max="6"/>
  </cols>
  <sheetData>
    <row r="1">
      <c r="A1" s="1" t="inlineStr">
        <is>
          <t>추진 시나리오 (3개 축)</t>
        </is>
      </c>
    </row>
    <row r="2">
      <c r="A2" s="2" t="inlineStr">
        <is>
          <t>규모 축소가 아니라 ① 재원 분담 ② 단계 분리 로 접근해야 합니다 — 총사업비의 40%가 건축·토목이라 품목 삭감만으로는 규모가 줄지 않습니다</t>
        </is>
      </c>
    </row>
    <row r="4">
      <c r="A4" s="5" t="inlineStr">
        <is>
          <t>■ 축 1 — 통합 완전패키지 (A안 · 기준안)</t>
        </is>
      </c>
      <c r="B4" s="6" t="n"/>
      <c r="C4" s="6" t="n"/>
      <c r="D4" s="6" t="n"/>
      <c r="E4" s="6" t="n"/>
      <c r="F4" s="6" t="n"/>
    </row>
    <row r="5">
      <c r="A5" s="7" t="inlineStr">
        <is>
          <t>구분</t>
        </is>
      </c>
      <c r="B5" s="7" t="inlineStr">
        <is>
          <t>내용</t>
        </is>
      </c>
      <c r="C5" s="7" t="inlineStr"/>
      <c r="D5" s="7" t="inlineStr"/>
      <c r="E5" s="7" t="inlineStr">
        <is>
          <t>개산 금액(원)</t>
        </is>
      </c>
      <c r="F5" s="7" t="inlineStr">
        <is>
          <t>USD</t>
        </is>
      </c>
    </row>
    <row r="6" ht="40" customHeight="1">
      <c r="A6" s="12" t="inlineStr">
        <is>
          <t>범위</t>
        </is>
      </c>
      <c r="B6" s="12" t="inlineStr">
        <is>
          <t>A~L 전 항목의 '본안' — 착유우 100두(총 180두) + 유가공 5톤/일 + IVF 실험실 + ICT + 기술전수</t>
        </is>
      </c>
      <c r="C6" s="44" t="n"/>
      <c r="D6" s="45" t="n"/>
      <c r="E6" s="46">
        <f>'02.기자재_리스트업'!J205</f>
        <v/>
      </c>
      <c r="F6" s="46">
        <f>ROUND(E6/'05.전제조건'!$C$5,0)</f>
        <v/>
      </c>
    </row>
    <row r="7" ht="40" customHeight="1">
      <c r="A7" s="12" t="inlineStr">
        <is>
          <t>옵션 추가 시</t>
        </is>
      </c>
      <c r="B7" s="12" t="inlineStr">
        <is>
          <t>착유로봇 1대 · UHT/ESL 라인 · 게이블탑 충전기 · ESS · 타임랩스 · 마이크로매니퓰레이터 · 개체별 급이기</t>
        </is>
      </c>
      <c r="C7" s="44" t="n"/>
      <c r="D7" s="45" t="n"/>
      <c r="E7" s="46">
        <f>'02.기자재_리스트업'!J206</f>
        <v/>
      </c>
      <c r="F7" s="46">
        <f>ROUND(E7/'05.전제조건'!$C$5,0)</f>
        <v/>
      </c>
    </row>
    <row r="8" ht="40" customHeight="1">
      <c r="A8" s="12" t="inlineStr">
        <is>
          <t>합계</t>
        </is>
      </c>
      <c r="B8" s="12" t="inlineStr">
        <is>
          <t>본안 + 옵션 전량</t>
        </is>
      </c>
      <c r="C8" s="44" t="n"/>
      <c r="D8" s="45" t="n"/>
      <c r="E8" s="46">
        <f>'02.기자재_리스트업'!J204</f>
        <v/>
      </c>
      <c r="F8" s="46">
        <f>ROUND(E8/'05.전제조건'!$C$5,0)</f>
        <v/>
      </c>
    </row>
    <row r="9" ht="40" customHeight="1">
      <c r="A9" s="12" t="n"/>
      <c r="B9" s="12" t="n"/>
      <c r="C9" s="47" t="n"/>
      <c r="D9" s="47" t="n"/>
      <c r="E9" s="46" t="n"/>
      <c r="F9" s="46" t="n"/>
    </row>
    <row r="10" ht="40" customHeight="1">
      <c r="A10" s="48" t="inlineStr">
        <is>
          <t>■ 축 2 — 재원 분담 (B안 · ★ 실무 권고)</t>
        </is>
      </c>
      <c r="B10" s="49" t="n"/>
      <c r="C10" s="50" t="n"/>
      <c r="D10" s="50" t="n"/>
      <c r="E10" s="51" t="n"/>
      <c r="F10" s="51" t="n"/>
    </row>
    <row r="11" ht="40" customHeight="1">
      <c r="A11" s="52" t="inlineStr">
        <is>
          <t>재원</t>
        </is>
      </c>
      <c r="B11" s="7" t="inlineStr">
        <is>
          <t>부담 범위</t>
        </is>
      </c>
      <c r="C11" s="7" t="n"/>
      <c r="D11" s="7" t="n"/>
      <c r="E11" s="53" t="inlineStr">
        <is>
          <t>개산 금액(원)</t>
        </is>
      </c>
      <c r="F11" s="53" t="inlineStr">
        <is>
          <t>USD</t>
        </is>
      </c>
    </row>
    <row r="12" ht="40" customHeight="1">
      <c r="A12" s="12" t="inlineStr">
        <is>
          <t>무상(KOICA)</t>
        </is>
      </c>
      <c r="B12" s="12" t="inlineStr">
        <is>
          <t>KOICA 무상원조 신청 범위 — 기자재·기술이전·교육 중심 (실험실, A.I./ET 기자재, 계측기자재, 착유설비, 농기계, 교육훈련, PMC)</t>
        </is>
      </c>
      <c r="C12" s="44" t="n"/>
      <c r="D12" s="45" t="n"/>
      <c r="E12" s="46">
        <f>SUMIFS('02.기자재_리스트업'!$J$5:$J$202,'02.기자재_리스트업'!$M$5:$M$202,"무상(KOICA)",'02.기자재_리스트업'!$L$5:$L$202,"본안")</f>
        <v/>
      </c>
      <c r="F12" s="46">
        <f>ROUND(E12/'05.전제조건'!$C$5,0)</f>
        <v/>
      </c>
    </row>
    <row r="13" ht="40" customHeight="1">
      <c r="A13" s="12" t="inlineStr">
        <is>
          <t>차관·현지부담</t>
        </is>
      </c>
      <c r="B13" s="12" t="inlineStr">
        <is>
          <t>EDCF 양허성차관 또는 우즈벡측 부담 — 건축·토목·유가공 플랜트·태양광 (부지는 우즈벡측 무상제공 전제)</t>
        </is>
      </c>
      <c r="C13" s="44" t="n"/>
      <c r="D13" s="45" t="n"/>
      <c r="E13" s="46">
        <f>SUMIFS('02.기자재_리스트업'!$J$5:$J$202,'02.기자재_리스트업'!$M$5:$M$202,"차관·현지부담",'02.기자재_리스트업'!$L$5:$L$202,"본안")</f>
        <v/>
      </c>
      <c r="F13" s="46">
        <f>ROUND(E13/'05.전제조건'!$C$5,0)</f>
        <v/>
      </c>
    </row>
    <row r="14" ht="40" customHeight="1">
      <c r="A14" s="12" t="inlineStr">
        <is>
          <t>민간(제네틱스·D2O)</t>
        </is>
      </c>
      <c r="B14" s="12" t="inlineStr">
        <is>
          <t>제네틱스·D2O 투자분 — 수정란·성감별정액·smaXtec 센서·CowTalk AI·Eco-BIT·D2O 베딩 (운영수익으로 회수)</t>
        </is>
      </c>
      <c r="C14" s="44" t="n"/>
      <c r="D14" s="45" t="n"/>
      <c r="E14" s="46">
        <f>SUMIFS('02.기자재_리스트업'!$J$5:$J$202,'02.기자재_리스트업'!$M$5:$M$202,"민간(제네틱스·D2O)",'02.기자재_리스트업'!$L$5:$L$202,"본안")</f>
        <v/>
      </c>
      <c r="F14" s="46">
        <f>ROUND(E14/'05.전제조건'!$C$5,0)</f>
        <v/>
      </c>
    </row>
    <row r="15" ht="40" customHeight="1">
      <c r="A15" s="17" t="inlineStr">
        <is>
          <t>합계</t>
        </is>
      </c>
      <c r="B15" s="17" t="n"/>
      <c r="C15" s="35" t="n"/>
      <c r="D15" s="35" t="n"/>
      <c r="E15" s="54">
        <f>SUM(E12:E14)</f>
        <v/>
      </c>
      <c r="F15" s="54">
        <f>ROUND(E15/'05.전제조건'!$C$5,0)</f>
        <v/>
      </c>
    </row>
    <row r="16" ht="38" customHeight="1">
      <c r="A16" s="12" t="n"/>
      <c r="B16" s="55" t="inlineStr">
        <is>
          <t>★ 권고: KOICA에는 위 '무상' 범위만 신청하고, 건축·토목·유가공 플랜트는 우즈벡측 현물기여(In-kind)·차관으로 구성하십시오. 이 구조면 KOICA 표준 사업규모 안에 들어오고, 우즈벡측 주인의식(ownership)도 확보됩니다.</t>
        </is>
      </c>
      <c r="C16" s="47" t="n"/>
      <c r="D16" s="47" t="n"/>
      <c r="E16" s="46" t="n"/>
      <c r="F16" s="46" t="n"/>
    </row>
    <row r="17" ht="40" customHeight="1">
      <c r="A17" s="12" t="n"/>
      <c r="B17" s="12" t="n"/>
      <c r="C17" s="47" t="n"/>
      <c r="D17" s="47" t="n"/>
      <c r="E17" s="46" t="n"/>
      <c r="F17" s="46" t="n"/>
    </row>
    <row r="18" ht="40" customHeight="1">
      <c r="A18" s="48" t="inlineStr">
        <is>
          <t>■ 축 3 — 단계 분리 (C안 · 유가공을 2단계 별도 사업으로)</t>
        </is>
      </c>
      <c r="B18" s="49" t="n"/>
      <c r="C18" s="50" t="n"/>
      <c r="D18" s="50" t="n"/>
      <c r="E18" s="51" t="n"/>
      <c r="F18" s="51" t="n"/>
    </row>
    <row r="19" ht="40" customHeight="1">
      <c r="A19" s="52" t="inlineStr">
        <is>
          <t>단계</t>
        </is>
      </c>
      <c r="B19" s="7" t="inlineStr">
        <is>
          <t>범위</t>
        </is>
      </c>
      <c r="C19" s="7" t="n"/>
      <c r="D19" s="7" t="n"/>
      <c r="E19" s="53" t="inlineStr">
        <is>
          <t>개산 금액(원)</t>
        </is>
      </c>
      <c r="F19" s="53" t="inlineStr">
        <is>
          <t>USD</t>
        </is>
      </c>
    </row>
    <row r="20" ht="40" customHeight="1">
      <c r="A20" s="12" t="inlineStr">
        <is>
          <t>2단계 (유가공)</t>
        </is>
      </c>
      <c r="B20" s="12" t="inlineStr">
        <is>
          <t>E군 유가공 설비 전량 + 유가공공장동 건축 7.5억 + 유가공 기술전수 0.9억 + 미생물검사세트 0.6억 (직접비) + 설계감리·운송·PMC·예비비 배분분</t>
        </is>
      </c>
      <c r="C20" s="44" t="n"/>
      <c r="D20" s="45" t="n"/>
      <c r="E20" s="46">
        <f>ROUND((SUMIFS('02.기자재_리스트업'!$J$5:$J$202,'02.기자재_리스트업'!$B$5:$B$202,"E. 유가공공장(5톤/일)",'02.기자재_리스트업'!$L$5:$L$202,"본안")+750000000+90000000+60000000)*1.1751,-6)</f>
        <v/>
      </c>
      <c r="F20" s="46">
        <f>ROUND(E20/'05.전제조건'!$C$5,0)</f>
        <v/>
      </c>
    </row>
    <row r="21" ht="40" customHeight="1">
      <c r="A21" s="12" t="inlineStr">
        <is>
          <t>1단계 (축산·유전개량·ICT)</t>
        </is>
      </c>
      <c r="B21" s="12" t="inlineStr">
        <is>
          <t>스마트축사(180두) + 팔러착유 + 농기계·분뇨처리 + A.I./ET 기자재 + IVF 실험실 + ICT/CowTalk + 교육훈련 — 유가공 제외</t>
        </is>
      </c>
      <c r="C21" s="44" t="n"/>
      <c r="D21" s="45" t="n"/>
      <c r="E21" s="46">
        <f>'02.기자재_리스트업'!J205-E20</f>
        <v/>
      </c>
      <c r="F21" s="46">
        <f>ROUND(E21/'05.전제조건'!$C$5,0)</f>
        <v/>
      </c>
    </row>
    <row r="22" ht="34" customHeight="1">
      <c r="A22" s="12" t="n"/>
      <c r="B22" s="56" t="inlineStr">
        <is>
          <t>※ 배분계수 1.1751 = 설계감리 7%(건축분) + 국제운송 8%(설비분) + PMC 4% + 예비비 5%의 누적 적용 결과. 1단계 성과(산유량·수태율·데이터) 확인 후 2단계 유가공을 후속 사업으로 제안하는 것이 승인 가능성이 가장 높습니다.</t>
        </is>
      </c>
      <c r="C22" s="47" t="n"/>
      <c r="D22" s="47" t="n"/>
      <c r="E22" s="46" t="n"/>
      <c r="F22" s="46" t="n"/>
    </row>
  </sheetData>
  <mergeCells count="10">
    <mergeCell ref="B14:D14"/>
    <mergeCell ref="B16:F16"/>
    <mergeCell ref="B8:D8"/>
    <mergeCell ref="B13:D13"/>
    <mergeCell ref="B21:D21"/>
    <mergeCell ref="B22:F22"/>
    <mergeCell ref="B12:D12"/>
    <mergeCell ref="B7:D7"/>
    <mergeCell ref="B6:D6"/>
    <mergeCell ref="B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연차별 집행 계획 (36개월)</t>
        </is>
      </c>
    </row>
    <row r="2">
      <c r="A2" s="2" t="inlineStr">
        <is>
          <t>집행 비율은 계획치 — 계약·인허가 일정에 따라 조정</t>
        </is>
      </c>
    </row>
    <row r="4">
      <c r="A4" s="7" t="inlineStr">
        <is>
          <t>대분류</t>
        </is>
      </c>
      <c r="B4" s="7" t="inlineStr">
        <is>
          <t>1년차 (설계·건축)</t>
        </is>
      </c>
      <c r="C4" s="7" t="inlineStr">
        <is>
          <t>2년차 (기자재·시운전)</t>
        </is>
      </c>
      <c r="D4" s="7" t="inlineStr">
        <is>
          <t>3년차 (운영·기술전수)</t>
        </is>
      </c>
      <c r="E4" s="7" t="inlineStr">
        <is>
          <t>합계(원)</t>
        </is>
      </c>
    </row>
    <row r="5" ht="22" customHeight="1">
      <c r="A5" s="57" t="inlineStr">
        <is>
          <t>A. 건축·토목</t>
        </is>
      </c>
      <c r="B5" s="46">
        <f>ROUND(SUMIFS('02.기자재_리스트업'!$J$5:$J$202,'02.기자재_리스트업'!$B$5:$B$202,"A. 건축·토목",'02.기자재_리스트업'!$L$5:$L$202,"본안")*0.6,-5)</f>
        <v/>
      </c>
      <c r="C5" s="46">
        <f>ROUND(SUMIFS('02.기자재_리스트업'!$J$5:$J$202,'02.기자재_리스트업'!$B$5:$B$202,"A. 건축·토목",'02.기자재_리스트업'!$L$5:$L$202,"본안")*0.4,-5)</f>
        <v/>
      </c>
      <c r="D5" s="46">
        <f>ROUND(SUMIFS('02.기자재_리스트업'!$J$5:$J$202,'02.기자재_리스트업'!$B$5:$B$202,"A. 건축·토목",'02.기자재_리스트업'!$L$5:$L$202,"본안")*0.0,-5)</f>
        <v/>
      </c>
      <c r="E5" s="46">
        <f>SUM(B5:D5)</f>
        <v/>
      </c>
    </row>
    <row r="6" ht="22" customHeight="1">
      <c r="A6" s="57" t="inlineStr">
        <is>
          <t>B. 착유·집유 설비</t>
        </is>
      </c>
      <c r="B6" s="46">
        <f>ROUND(SUMIFS('02.기자재_리스트업'!$J$5:$J$202,'02.기자재_리스트업'!$B$5:$B$202,"B. 착유·집유 설비",'02.기자재_리스트업'!$L$5:$L$202,"본안")*0.0,-5)</f>
        <v/>
      </c>
      <c r="C6" s="46">
        <f>ROUND(SUMIFS('02.기자재_리스트업'!$J$5:$J$202,'02.기자재_리스트업'!$B$5:$B$202,"B. 착유·집유 설비",'02.기자재_리스트업'!$L$5:$L$202,"본안")*0.9,-5)</f>
        <v/>
      </c>
      <c r="D6" s="46">
        <f>ROUND(SUMIFS('02.기자재_리스트업'!$J$5:$J$202,'02.기자재_리스트업'!$B$5:$B$202,"B. 착유·집유 설비",'02.기자재_리스트업'!$L$5:$L$202,"본안")*0.1,-5)</f>
        <v/>
      </c>
      <c r="E6" s="46">
        <f>SUM(B6:D6)</f>
        <v/>
      </c>
    </row>
    <row r="7" ht="22" customHeight="1">
      <c r="A7" s="57" t="inlineStr">
        <is>
          <t>C. 사료·급이 설비</t>
        </is>
      </c>
      <c r="B7" s="46">
        <f>ROUND(SUMIFS('02.기자재_리스트업'!$J$5:$J$202,'02.기자재_리스트업'!$B$5:$B$202,"C. 사료·급이 설비",'02.기자재_리스트업'!$L$5:$L$202,"본안")*0.0,-5)</f>
        <v/>
      </c>
      <c r="C7" s="46">
        <f>ROUND(SUMIFS('02.기자재_리스트업'!$J$5:$J$202,'02.기자재_리스트업'!$B$5:$B$202,"C. 사료·급이 설비",'02.기자재_리스트업'!$L$5:$L$202,"본안")*0.9,-5)</f>
        <v/>
      </c>
      <c r="D7" s="46">
        <f>ROUND(SUMIFS('02.기자재_리스트업'!$J$5:$J$202,'02.기자재_리스트업'!$B$5:$B$202,"C. 사료·급이 설비",'02.기자재_리스트업'!$L$5:$L$202,"본안")*0.1,-5)</f>
        <v/>
      </c>
      <c r="E7" s="46">
        <f>SUM(B7:D7)</f>
        <v/>
      </c>
    </row>
    <row r="8" ht="22" customHeight="1">
      <c r="A8" s="57" t="inlineStr">
        <is>
          <t>D. 분뇨처리·농기계</t>
        </is>
      </c>
      <c r="B8" s="46">
        <f>ROUND(SUMIFS('02.기자재_리스트업'!$J$5:$J$202,'02.기자재_리스트업'!$B$5:$B$202,"D. 분뇨처리·농기계",'02.기자재_리스트업'!$L$5:$L$202,"본안")*0.0,-5)</f>
        <v/>
      </c>
      <c r="C8" s="46">
        <f>ROUND(SUMIFS('02.기자재_리스트업'!$J$5:$J$202,'02.기자재_리스트업'!$B$5:$B$202,"D. 분뇨처리·농기계",'02.기자재_리스트업'!$L$5:$L$202,"본안")*0.85,-5)</f>
        <v/>
      </c>
      <c r="D8" s="46">
        <f>ROUND(SUMIFS('02.기자재_리스트업'!$J$5:$J$202,'02.기자재_리스트업'!$B$5:$B$202,"D. 분뇨처리·농기계",'02.기자재_리스트업'!$L$5:$L$202,"본안")*0.15,-5)</f>
        <v/>
      </c>
      <c r="E8" s="46">
        <f>SUM(B8:D8)</f>
        <v/>
      </c>
    </row>
    <row r="9" ht="22" customHeight="1">
      <c r="A9" s="57" t="inlineStr">
        <is>
          <t>E. 유가공공장(5톤/일)</t>
        </is>
      </c>
      <c r="B9" s="46">
        <f>ROUND(SUMIFS('02.기자재_리스트업'!$J$5:$J$202,'02.기자재_리스트업'!$B$5:$B$202,"E. 유가공공장(5톤/일)",'02.기자재_리스트업'!$L$5:$L$202,"본안")*0.0,-5)</f>
        <v/>
      </c>
      <c r="C9" s="46">
        <f>ROUND(SUMIFS('02.기자재_리스트업'!$J$5:$J$202,'02.기자재_리스트업'!$B$5:$B$202,"E. 유가공공장(5톤/일)",'02.기자재_리스트업'!$L$5:$L$202,"본안")*0.8,-5)</f>
        <v/>
      </c>
      <c r="D9" s="46">
        <f>ROUND(SUMIFS('02.기자재_리스트업'!$J$5:$J$202,'02.기자재_리스트업'!$B$5:$B$202,"E. 유가공공장(5톤/일)",'02.기자재_리스트업'!$L$5:$L$202,"본안")*0.2,-5)</f>
        <v/>
      </c>
      <c r="E9" s="46">
        <f>SUM(B9:D9)</f>
        <v/>
      </c>
    </row>
    <row r="10" ht="22" customHeight="1">
      <c r="A10" s="57" t="inlineStr">
        <is>
          <t>F. 원유·유제품 품질관리</t>
        </is>
      </c>
      <c r="B10" s="46">
        <f>ROUND(SUMIFS('02.기자재_리스트업'!$J$5:$J$202,'02.기자재_리스트업'!$B$5:$B$202,"F. 원유·유제품 품질관리",'02.기자재_리스트업'!$L$5:$L$202,"본안")*0.0,-5)</f>
        <v/>
      </c>
      <c r="C10" s="46">
        <f>ROUND(SUMIFS('02.기자재_리스트업'!$J$5:$J$202,'02.기자재_리스트업'!$B$5:$B$202,"F. 원유·유제품 품질관리",'02.기자재_리스트업'!$L$5:$L$202,"본안")*0.8,-5)</f>
        <v/>
      </c>
      <c r="D10" s="46">
        <f>ROUND(SUMIFS('02.기자재_리스트업'!$J$5:$J$202,'02.기자재_리스트업'!$B$5:$B$202,"F. 원유·유제품 품질관리",'02.기자재_리스트업'!$L$5:$L$202,"본안")*0.2,-5)</f>
        <v/>
      </c>
      <c r="E10" s="46">
        <f>SUM(B10:D10)</f>
        <v/>
      </c>
    </row>
    <row r="11" ht="22" customHeight="1">
      <c r="A11" s="57" t="inlineStr">
        <is>
          <t>G. 인공수정(A.I.) 기자재</t>
        </is>
      </c>
      <c r="B11" s="46">
        <f>ROUND(SUMIFS('02.기자재_리스트업'!$J$5:$J$202,'02.기자재_리스트업'!$B$5:$B$202,"G. 인공수정(A.I.) 기자재",'02.기자재_리스트업'!$L$5:$L$202,"본안")*0.1,-5)</f>
        <v/>
      </c>
      <c r="C11" s="46">
        <f>ROUND(SUMIFS('02.기자재_리스트업'!$J$5:$J$202,'02.기자재_리스트업'!$B$5:$B$202,"G. 인공수정(A.I.) 기자재",'02.기자재_리스트업'!$L$5:$L$202,"본안")*0.6,-5)</f>
        <v/>
      </c>
      <c r="D11" s="46">
        <f>ROUND(SUMIFS('02.기자재_리스트업'!$J$5:$J$202,'02.기자재_리스트업'!$B$5:$B$202,"G. 인공수정(A.I.) 기자재",'02.기자재_리스트업'!$L$5:$L$202,"본안")*0.3,-5)</f>
        <v/>
      </c>
      <c r="E11" s="46">
        <f>SUM(B11:D11)</f>
        <v/>
      </c>
    </row>
    <row r="12" ht="22" customHeight="1">
      <c r="A12" s="57" t="inlineStr">
        <is>
          <t>H. 수정란이식(ET) 기자재</t>
        </is>
      </c>
      <c r="B12" s="46">
        <f>ROUND(SUMIFS('02.기자재_리스트업'!$J$5:$J$202,'02.기자재_리스트업'!$B$5:$B$202,"H. 수정란이식(ET) 기자재",'02.기자재_리스트업'!$L$5:$L$202,"본안")*0.05,-5)</f>
        <v/>
      </c>
      <c r="C12" s="46">
        <f>ROUND(SUMIFS('02.기자재_리스트업'!$J$5:$J$202,'02.기자재_리스트업'!$B$5:$B$202,"H. 수정란이식(ET) 기자재",'02.기자재_리스트업'!$L$5:$L$202,"본안")*0.45,-5)</f>
        <v/>
      </c>
      <c r="D12" s="46">
        <f>ROUND(SUMIFS('02.기자재_리스트업'!$J$5:$J$202,'02.기자재_리스트업'!$B$5:$B$202,"H. 수정란이식(ET) 기자재",'02.기자재_리스트업'!$L$5:$L$202,"본안")*0.5,-5)</f>
        <v/>
      </c>
      <c r="E12" s="46">
        <f>SUM(B12:D12)</f>
        <v/>
      </c>
    </row>
    <row r="13" ht="22" customHeight="1">
      <c r="A13" s="57" t="inlineStr">
        <is>
          <t>I. 체외수정란(IVF) 실험실</t>
        </is>
      </c>
      <c r="B13" s="46">
        <f>ROUND(SUMIFS('02.기자재_리스트업'!$J$5:$J$202,'02.기자재_리스트업'!$B$5:$B$202,"I. 체외수정란(IVF) 실험실",'02.기자재_리스트업'!$L$5:$L$202,"본안")*0.0,-5)</f>
        <v/>
      </c>
      <c r="C13" s="46">
        <f>ROUND(SUMIFS('02.기자재_리스트업'!$J$5:$J$202,'02.기자재_리스트업'!$B$5:$B$202,"I. 체외수정란(IVF) 실험실",'02.기자재_리스트업'!$L$5:$L$202,"본안")*0.75,-5)</f>
        <v/>
      </c>
      <c r="D13" s="46">
        <f>ROUND(SUMIFS('02.기자재_리스트업'!$J$5:$J$202,'02.기자재_리스트업'!$B$5:$B$202,"I. 체외수정란(IVF) 실험실",'02.기자재_리스트업'!$L$5:$L$202,"본안")*0.25,-5)</f>
        <v/>
      </c>
      <c r="E13" s="46">
        <f>SUM(B13:D13)</f>
        <v/>
      </c>
    </row>
    <row r="14" ht="22" customHeight="1">
      <c r="A14" s="57" t="inlineStr">
        <is>
          <t>J. ICT·스마트팜</t>
        </is>
      </c>
      <c r="B14" s="46">
        <f>ROUND(SUMIFS('02.기자재_리스트업'!$J$5:$J$202,'02.기자재_리스트업'!$B$5:$B$202,"J. ICT·스마트팜",'02.기자재_리스트업'!$L$5:$L$202,"본안")*0.1,-5)</f>
        <v/>
      </c>
      <c r="C14" s="46">
        <f>ROUND(SUMIFS('02.기자재_리스트업'!$J$5:$J$202,'02.기자재_리스트업'!$B$5:$B$202,"J. ICT·스마트팜",'02.기자재_리스트업'!$L$5:$L$202,"본안")*0.55,-5)</f>
        <v/>
      </c>
      <c r="D14" s="46">
        <f>ROUND(SUMIFS('02.기자재_리스트업'!$J$5:$J$202,'02.기자재_리스트업'!$B$5:$B$202,"J. ICT·스마트팜",'02.기자재_리스트업'!$L$5:$L$202,"본안")*0.35,-5)</f>
        <v/>
      </c>
      <c r="E14" s="46">
        <f>SUM(B14:D14)</f>
        <v/>
      </c>
    </row>
    <row r="15" ht="22" customHeight="1">
      <c r="A15" s="57" t="inlineStr">
        <is>
          <t>K. 교육훈련·기술전수</t>
        </is>
      </c>
      <c r="B15" s="46">
        <f>ROUND(SUMIFS('02.기자재_리스트업'!$J$5:$J$202,'02.기자재_리스트업'!$B$5:$B$202,"K. 교육훈련·기술전수",'02.기자재_리스트업'!$L$5:$L$202,"본안")*0.2,-5)</f>
        <v/>
      </c>
      <c r="C15" s="46">
        <f>ROUND(SUMIFS('02.기자재_리스트업'!$J$5:$J$202,'02.기자재_리스트업'!$B$5:$B$202,"K. 교육훈련·기술전수",'02.기자재_리스트업'!$L$5:$L$202,"본안")*0.35,-5)</f>
        <v/>
      </c>
      <c r="D15" s="46">
        <f>ROUND(SUMIFS('02.기자재_리스트업'!$J$5:$J$202,'02.기자재_리스트업'!$B$5:$B$202,"K. 교육훈련·기술전수",'02.기자재_리스트업'!$L$5:$L$202,"본안")*0.45,-5)</f>
        <v/>
      </c>
      <c r="E15" s="46">
        <f>SUM(B15:D15)</f>
        <v/>
      </c>
    </row>
    <row r="16" ht="22" customHeight="1">
      <c r="A16" s="57" t="inlineStr">
        <is>
          <t>L. 사업관리·기타</t>
        </is>
      </c>
      <c r="B16" s="46">
        <f>ROUND(SUMIFS('02.기자재_리스트업'!$J$5:$J$202,'02.기자재_리스트업'!$B$5:$B$202,"L. 사업관리·기타",'02.기자재_리스트업'!$L$5:$L$202,"본안")*0.35,-5)</f>
        <v/>
      </c>
      <c r="C16" s="46">
        <f>ROUND(SUMIFS('02.기자재_리스트업'!$J$5:$J$202,'02.기자재_리스트업'!$B$5:$B$202,"L. 사업관리·기타",'02.기자재_리스트업'!$L$5:$L$202,"본안")*0.4,-5)</f>
        <v/>
      </c>
      <c r="D16" s="46">
        <f>ROUND(SUMIFS('02.기자재_리스트업'!$J$5:$J$202,'02.기자재_리스트업'!$B$5:$B$202,"L. 사업관리·기타",'02.기자재_리스트업'!$L$5:$L$202,"본안")*0.25,-5)</f>
        <v/>
      </c>
      <c r="E16" s="46">
        <f>SUM(B16:D16)</f>
        <v/>
      </c>
    </row>
    <row r="17" ht="22" customHeight="1">
      <c r="A17" s="58" t="inlineStr">
        <is>
          <t>합  계</t>
        </is>
      </c>
      <c r="B17" s="54">
        <f>SUM(B5:B16)</f>
        <v/>
      </c>
      <c r="C17" s="54">
        <f>SUM(C5:C16)</f>
        <v/>
      </c>
      <c r="D17" s="54">
        <f>SUM(D5:D16)</f>
        <v/>
      </c>
      <c r="E17" s="54">
        <f>SUM(E5:E16)</f>
        <v/>
      </c>
    </row>
    <row r="19">
      <c r="A19" s="18" t="inlineStr">
        <is>
          <t>■ 연차별 핵심 마일스톤</t>
        </is>
      </c>
    </row>
    <row r="20" ht="34" customHeight="1">
      <c r="A20" s="3" t="inlineStr">
        <is>
          <t>1년차</t>
        </is>
      </c>
      <c r="B20" s="4" t="inlineStr">
        <is>
          <t>F/S 확정 → 실시설계 → 인허가·부지확보 → 건축 착공(우사·실험실·유가공동) → 수정란 수입 검역협의 착수 → 현지 인력 1기 한국 초청연수</t>
        </is>
      </c>
    </row>
    <row r="21" ht="34" customHeight="1">
      <c r="A21" s="3" t="inlineStr">
        <is>
          <t>2년차</t>
        </is>
      </c>
      <c r="B21" s="4" t="inlineStr">
        <is>
          <t>건축 준공 → 기자재 반입·설치·시운전 → smaXtec 센서 투여 → CowTalk AI 현지화 오픈 → 젖소 입식·착유 개시 → 유가공 시제품 생산 → 실험실 IVF 가동</t>
        </is>
      </c>
    </row>
    <row r="22" ht="34" customHeight="1">
      <c r="A22" s="3" t="inlineStr">
        <is>
          <t>3년차</t>
        </is>
      </c>
      <c r="B22" s="4" t="inlineStr">
        <is>
          <t>수정란이식 본격 시행 → 현지 수의사 인증과정 → 유가공 상업생산·유통 개시 → Eco-BIT 정부 대시보드 연계 → 성과평가 → 확산(2단계·타 주 확대) 제안</t>
        </is>
      </c>
    </row>
  </sheetData>
  <mergeCells count="3">
    <mergeCell ref="B22:E22"/>
    <mergeCell ref="B21:E21"/>
    <mergeCell ref="B20:E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6" customWidth="1" min="3" max="3"/>
    <col width="78" customWidth="1" min="4" max="4"/>
  </cols>
  <sheetData>
    <row r="1">
      <c r="A1" s="1" t="inlineStr">
        <is>
          <t>전제조건 · 단가 산정 근거</t>
        </is>
      </c>
    </row>
    <row r="2">
      <c r="A2" s="2" t="inlineStr">
        <is>
          <t>★ C5(환율)를 수정하면 전 시트의 USD 금액이 자동 갱신됩니다</t>
        </is>
      </c>
    </row>
    <row r="5">
      <c r="B5" s="59" t="inlineStr">
        <is>
          <t>적용 환율 (KRW / USD)</t>
        </is>
      </c>
      <c r="C5" s="60" t="n">
        <v>1380</v>
      </c>
      <c r="D5" s="2" t="inlineStr">
        <is>
          <t>← 이 값만 바꾸면 전체 USD가 재계산됩니다 (가정치)</t>
        </is>
      </c>
    </row>
    <row r="7" ht="28" customHeight="1">
      <c r="B7" s="3" t="inlineStr"/>
      <c r="C7" s="4" t="inlineStr"/>
      <c r="D7" s="4" t="inlineStr"/>
    </row>
    <row r="8" ht="22" customHeight="1">
      <c r="B8" s="61" t="inlineStr">
        <is>
          <t>■ 산정 기준</t>
        </is>
      </c>
      <c r="C8" s="61" t="inlineStr"/>
      <c r="D8" s="61" t="inlineStr"/>
    </row>
    <row r="9" ht="28" customHeight="1">
      <c r="B9" s="3" t="inlineStr">
        <is>
          <t>가격 기준시점</t>
        </is>
      </c>
      <c r="C9" s="4" t="inlineStr">
        <is>
          <t>2026년 8월</t>
        </is>
      </c>
      <c r="D9" s="4" t="inlineStr">
        <is>
          <t>한국 시장가 / 최근 유사 ODA·국내 축산시설 사업 실적 참고</t>
        </is>
      </c>
    </row>
    <row r="10" ht="28" customHeight="1">
      <c r="B10" s="3" t="inlineStr">
        <is>
          <t>가격의 성격</t>
        </is>
      </c>
      <c r="C10" s="4" t="inlineStr">
        <is>
          <t>개산(槪算) 추정치</t>
        </is>
      </c>
      <c r="D10" s="4" t="inlineStr">
        <is>
          <t>확정 견적 아님. 실시설계 + 현지 3사 견적으로 반드시 재산정</t>
        </is>
      </c>
    </row>
    <row r="11" ht="28" customHeight="1">
      <c r="B11" s="3" t="inlineStr">
        <is>
          <t>건축비 단가</t>
        </is>
      </c>
      <c r="C11" s="4" t="inlineStr">
        <is>
          <t>우사 40만원/㎡, 팔러동 60만원/㎡, 실험실 150만원/㎡, 유가공동 150만원/㎡</t>
        </is>
      </c>
      <c r="D11" s="4" t="inlineStr">
        <is>
          <t>우즈벡 현지 노무비 반영(한국 대비 하향), 철골·판넬 등 주요자재는 수입 전제로 상향</t>
        </is>
      </c>
    </row>
    <row r="12" ht="28" customHeight="1">
      <c r="B12" s="3" t="inlineStr">
        <is>
          <t>기자재 단가</t>
        </is>
      </c>
      <c r="C12" s="4" t="inlineStr">
        <is>
          <t>한국 조달가 기준 (CIF 미포함)</t>
        </is>
      </c>
      <c r="D12" s="4" t="inlineStr">
        <is>
          <t>국제운송·통관·보험은 L군에서 기자재비의 8%로 별도 계상</t>
        </is>
      </c>
    </row>
    <row r="13" ht="28" customHeight="1">
      <c r="B13" s="3" t="inlineStr">
        <is>
          <t>설계·감리</t>
        </is>
      </c>
      <c r="C13" s="4" t="inlineStr">
        <is>
          <t>건축공사비의 7%</t>
        </is>
      </c>
      <c r="D13" s="4" t="inlineStr">
        <is>
          <t>-</t>
        </is>
      </c>
    </row>
    <row r="14" ht="28" customHeight="1">
      <c r="B14" s="3" t="inlineStr">
        <is>
          <t>PMC 사업관리비</t>
        </is>
      </c>
      <c r="C14" s="4" t="inlineStr">
        <is>
          <t>총사업비의 4%</t>
        </is>
      </c>
      <c r="D14" s="4" t="inlineStr">
        <is>
          <t>36개월 사업관리</t>
        </is>
      </c>
    </row>
    <row r="15" ht="28" customHeight="1">
      <c r="B15" s="3" t="inlineStr">
        <is>
          <t>예비비</t>
        </is>
      </c>
      <c r="C15" s="4" t="inlineStr">
        <is>
          <t>총사업비의 5%</t>
        </is>
      </c>
      <c r="D15" s="4" t="inlineStr">
        <is>
          <t>환율·물가·설계변경 대응</t>
        </is>
      </c>
    </row>
    <row r="16" ht="28" customHeight="1">
      <c r="B16" s="3" t="inlineStr"/>
      <c r="C16" s="4" t="inlineStr"/>
      <c r="D16" s="4" t="inlineStr"/>
    </row>
    <row r="17" ht="22" customHeight="1">
      <c r="B17" s="61" t="inlineStr">
        <is>
          <t>■ 규모 산정 근거</t>
        </is>
      </c>
      <c r="C17" s="61" t="inlineStr"/>
      <c r="D17" s="61" t="inlineStr"/>
    </row>
    <row r="18" ht="28" customHeight="1">
      <c r="B18" s="3" t="inlineStr">
        <is>
          <t>착유우 두수</t>
        </is>
      </c>
      <c r="C18" s="4" t="inlineStr">
        <is>
          <t>100두</t>
        </is>
      </c>
      <c r="D18" s="4" t="inlineStr">
        <is>
          <t>회장님 지시 규모. 2,700㎡에 총 180두 수용 시 두당 15㎡ (프리스톨 + 통로 + 대기장 포함)</t>
        </is>
      </c>
    </row>
    <row r="19" ht="28" customHeight="1">
      <c r="B19" s="3" t="inlineStr">
        <is>
          <t>원유 생산량(자가)</t>
        </is>
      </c>
      <c r="C19" s="4" t="inlineStr">
        <is>
          <t>2.5톤/일</t>
        </is>
      </c>
      <c r="D19" s="4" t="inlineStr">
        <is>
          <t>100두 × 25kg/일 (홀스타인 개량 진행 후 목표치)</t>
        </is>
      </c>
    </row>
    <row r="20" ht="28" customHeight="1">
      <c r="B20" s="3" t="inlineStr">
        <is>
          <t>유가공 처리량</t>
        </is>
      </c>
      <c r="C20" s="4" t="inlineStr">
        <is>
          <t>5.0톤/일</t>
        </is>
      </c>
      <c r="D20" s="4" t="inlineStr">
        <is>
          <t>회장님 지시 규모 유지. 자가 2.5톤 + 인근 농가 집유 2.5톤 → 인근 집유 확보가 가동률의 전제</t>
        </is>
      </c>
    </row>
    <row r="21" ht="28" customHeight="1">
      <c r="B21" s="3" t="inlineStr">
        <is>
          <t>퇴비 처리량</t>
        </is>
      </c>
      <c r="C21" s="4" t="inlineStr">
        <is>
          <t>약 8.1톤/일</t>
        </is>
      </c>
      <c r="D21" s="4" t="inlineStr">
        <is>
          <t>180두 × 약 45kg/두/일 (분뇨 + 깔짚 혼합 기준) → 발효조 10톤/일</t>
        </is>
      </c>
    </row>
    <row r="22" ht="28" customHeight="1">
      <c r="B22" s="3" t="inlineStr">
        <is>
          <t>smaXtec 센서</t>
        </is>
      </c>
      <c r="C22" s="4" t="inlineStr">
        <is>
          <t>180두 × 36개월</t>
        </is>
      </c>
      <c r="D22" s="4" t="inlineStr">
        <is>
          <t>공식 판매조건: 설치 500만원/목장 + 두당 월 12,000원 (4년 유지, 고장 시 무상교체)</t>
        </is>
      </c>
    </row>
    <row r="23" ht="28" customHeight="1">
      <c r="B23" s="3" t="inlineStr">
        <is>
          <t>수정란 공급</t>
        </is>
      </c>
      <c r="C23" s="4" t="inlineStr">
        <is>
          <t>3년간 600개</t>
        </is>
      </c>
      <c r="D23" s="4" t="inlineStr">
        <is>
          <t>자체 수란우 + 인근 농가 보급 이식분. 한국산 홀스타인 성감별 수정란</t>
        </is>
      </c>
    </row>
    <row r="24" ht="28" customHeight="1">
      <c r="B24" s="3" t="inlineStr">
        <is>
          <t>체외수정란 생산</t>
        </is>
      </c>
      <c r="C24" s="4" t="inlineStr">
        <is>
          <t>연 3,000개 (3년차)</t>
        </is>
      </c>
      <c r="D24" s="4" t="inlineStr">
        <is>
          <t>OPU + 도축장 난소 병행 — 파일럿 목표치</t>
        </is>
      </c>
    </row>
    <row r="25" ht="28" customHeight="1">
      <c r="B25" s="3" t="inlineStr"/>
      <c r="C25" s="4" t="inlineStr"/>
      <c r="D25" s="4" t="inlineStr"/>
    </row>
    <row r="26" ht="22" customHeight="1">
      <c r="B26" s="61" t="inlineStr">
        <is>
          <t>■ 반드시 검증이 필요한 항목</t>
        </is>
      </c>
      <c r="C26" s="61" t="inlineStr"/>
      <c r="D26" s="61" t="inlineStr"/>
    </row>
    <row r="27" ht="28" customHeight="1">
      <c r="B27" s="3" t="inlineStr">
        <is>
          <t>① 현지 건축 단가</t>
        </is>
      </c>
      <c r="C27" s="4" t="inlineStr">
        <is>
          <t>미확정</t>
        </is>
      </c>
      <c r="D27" s="4" t="inlineStr">
        <is>
          <t>우즈벡 현지 시공사 견적 3사 비교 필수 — 총사업비 변동폭이 가장 큰 항목</t>
        </is>
      </c>
    </row>
    <row r="28" ht="28" customHeight="1">
      <c r="B28" s="3" t="inlineStr">
        <is>
          <t>② 수정란 수입 검역요건</t>
        </is>
      </c>
      <c r="C28" s="4" t="inlineStr">
        <is>
          <t>미확정</t>
        </is>
      </c>
      <c r="D28" s="4" t="inlineStr">
        <is>
          <t>우즈벡 수의당국 Export Permit / Health Certificate 요건 사전확인 — 불가 시 사업구조 변경</t>
        </is>
      </c>
    </row>
    <row r="29" ht="28" customHeight="1">
      <c r="B29" s="3" t="inlineStr">
        <is>
          <t>③ 유제품 위생기준·인허가</t>
        </is>
      </c>
      <c r="C29" s="4" t="inlineStr">
        <is>
          <t>미확정</t>
        </is>
      </c>
      <c r="D29" s="4" t="inlineStr">
        <is>
          <t>우즈벡 유가공 영업허가·표시기준·유통기한 규정 확인</t>
        </is>
      </c>
    </row>
    <row r="30" ht="28" customHeight="1">
      <c r="B30" s="3" t="inlineStr">
        <is>
          <t>④ 전력·용수 인프라</t>
        </is>
      </c>
      <c r="C30" s="4" t="inlineStr">
        <is>
          <t>미확정</t>
        </is>
      </c>
      <c r="D30" s="4" t="inlineStr">
        <is>
          <t>부지 인근 수전용량 및 지하수 수질·수량 실사 필요</t>
        </is>
      </c>
    </row>
    <row r="31" ht="28" customHeight="1">
      <c r="B31" s="3" t="inlineStr">
        <is>
          <t>⑤ smaXtec 해외 공급조건</t>
        </is>
      </c>
      <c r="C31" s="4" t="inlineStr">
        <is>
          <t>미확정</t>
        </is>
      </c>
      <c r="D31" s="4" t="inlineStr">
        <is>
          <t>국내 공급조건 기준으로 산정 — 해외 반출·통신망 조건은 본사 협의 필요</t>
        </is>
      </c>
    </row>
    <row r="32" ht="28" customHeight="1">
      <c r="B32" s="3" t="inlineStr">
        <is>
          <t>⑧ 인근 농가 집유 가능량</t>
        </is>
      </c>
      <c r="C32" s="4" t="inlineStr">
        <is>
          <t>미확정</t>
        </is>
      </c>
      <c r="D32" s="4" t="inlineStr">
        <is>
          <t>★ 유가공 5톤/일 가동의 전제. 반경 30km 내 낙농가 호수·사육두수·원유량 실사 필요 — 확보 못하면 가동률 50%</t>
        </is>
      </c>
    </row>
    <row r="33" ht="28" customHeight="1">
      <c r="B33" s="3" t="inlineStr">
        <is>
          <t>⑨ 액체질소 현지 공급망</t>
        </is>
      </c>
      <c r="C33" s="4" t="inlineStr">
        <is>
          <t>미확정</t>
        </is>
      </c>
      <c r="D33" s="4" t="inlineStr">
        <is>
          <t>★ 질소발생기 미도입 결정에 따른 필수 검증항목. 공급업체·공급주기·단가·비상시 대체공급원 확인 후 3년 계약 체결</t>
        </is>
      </c>
    </row>
    <row r="34" ht="28" customHeight="1">
      <c r="B34" s="3" t="inlineStr">
        <is>
          <t>⑥ 원유·유제품 시장가격</t>
        </is>
      </c>
      <c r="C34" s="4" t="inlineStr">
        <is>
          <t>미확정</t>
        </is>
      </c>
      <c r="D34" s="4" t="inlineStr">
        <is>
          <t>우즈벡 현지 원유가·유제품 소비자가 조사 → 운영 수익성 모델 확정</t>
        </is>
      </c>
    </row>
    <row r="35" ht="28" customHeight="1">
      <c r="B35" s="3" t="inlineStr">
        <is>
          <t>⑦ 부지 확보</t>
        </is>
      </c>
      <c r="C35" s="4" t="inlineStr">
        <is>
          <t>미확정</t>
        </is>
      </c>
      <c r="D35" s="4" t="inlineStr">
        <is>
          <t>우즈벡측 무상 제공 전제로 계상 — 미제공 시 부지비 추가</t>
        </is>
      </c>
    </row>
    <row r="36" ht="28" customHeight="1">
      <c r="B36" s="3" t="inlineStr"/>
      <c r="C36" s="4" t="inlineStr"/>
      <c r="D36" s="4" t="inlineStr"/>
    </row>
    <row r="37" ht="22" customHeight="1">
      <c r="B37" s="61" t="inlineStr">
        <is>
          <t>■ 문서 취급 주의</t>
        </is>
      </c>
      <c r="C37" s="61" t="inlineStr"/>
      <c r="D37" s="61" t="inlineStr"/>
    </row>
    <row r="38" ht="28" customHeight="1">
      <c r="B38" s="3" t="inlineStr">
        <is>
          <t>대외 표현</t>
        </is>
      </c>
      <c r="C38" s="4" t="inlineStr">
        <is>
          <t>성과수치는 '기대목표(pilot target)'으로 표기</t>
        </is>
      </c>
      <c r="D38" s="4" t="inlineStr">
        <is>
          <t>산유량·수태율·악취저감 등은 검증 전 확정 표현 금지</t>
        </is>
      </c>
    </row>
    <row r="39" ht="28" customHeight="1">
      <c r="B39" s="3" t="inlineStr">
        <is>
          <t>유전자원 범위</t>
        </is>
      </c>
      <c r="C39" s="4" t="inlineStr">
        <is>
          <t>한국산 홀스타인 성감별(유용) 수정란·정액에 한정</t>
        </is>
      </c>
      <c r="D39" s="4" t="inlineStr">
        <is>
          <t>한우 유전자원은 본 사업의 대상이 아님</t>
        </is>
      </c>
    </row>
    <row r="40" ht="28" customHeight="1">
      <c r="B40" s="3" t="inlineStr">
        <is>
          <t>기술 표현</t>
        </is>
      </c>
      <c r="C40" s="4" t="inlineStr">
        <is>
          <t>D2O 환경기술은 기능·성능 중심으로 기술</t>
        </is>
      </c>
      <c r="D40" s="4" t="inlineStr">
        <is>
          <t>원료 출처 등 세부 사항은 대외문서에 기재하지 않음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2026-08-11T09:00:06Z</dcterms:created>
  <dcterms:modified xsi:type="dcterms:W3CDTF">2026-08-11T09:00:06Z</dcterms:modified>
</cp:coreProperties>
</file>