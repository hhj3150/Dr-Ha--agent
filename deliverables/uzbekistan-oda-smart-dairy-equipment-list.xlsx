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사업개요" sheetId="1" state="visible" r:id="rId1"/>
    <sheet name="01.기자재_리스트업" sheetId="2" state="visible" r:id="rId2"/>
    <sheet name="02.시스템별_요약" sheetId="3" state="visible" r:id="rId3"/>
    <sheet name="03.확정_필요사항" sheetId="4" state="visible" r:id="rId4"/>
    <sheet name="04.확장항목_2단계" sheetId="5" state="visible" r:id="rId5"/>
  </sheets>
  <definedNames>
    <definedName name="_xlnm._FilterDatabase" localSheetId="1" hidden="1">'01.기자재_리스트업'!$A$4:$K$219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sz val="10"/>
    </font>
    <font>
      <name val="맑은 고딕"/>
      <b val="1"/>
      <color rgb="00FFFFFF"/>
      <sz val="12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sz val="9"/>
    </font>
    <font>
      <name val="맑은 고딕"/>
      <b val="1"/>
      <color rgb="00C00000"/>
      <sz val="9"/>
    </font>
    <font>
      <name val="맑은 고딕"/>
      <b val="1"/>
      <color rgb="00BF8F00"/>
      <sz val="9"/>
    </font>
    <font>
      <name val="맑은 고딕"/>
      <b val="1"/>
      <color rgb="007030A0"/>
      <sz val="9"/>
    </font>
    <font>
      <name val="맑은 고딕"/>
      <b val="1"/>
      <sz val="10"/>
    </font>
    <font>
      <name val="맑은 고딕"/>
      <b val="1"/>
      <color rgb="00FFFFFF"/>
      <sz val="11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1F3864"/>
      </patternFill>
    </fill>
    <fill>
      <patternFill patternType="solid">
        <fgColor rgb="00EAF0F7"/>
      </patternFill>
    </fill>
    <fill>
      <patternFill patternType="solid">
        <fgColor rgb="00FFFFF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3" fontId="7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4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2" customWidth="1" min="2" max="2"/>
  </cols>
  <sheetData>
    <row r="1">
      <c r="A1" s="1" t="inlineStr">
        <is>
          <t>우즈베키스탄 스마트축사 · 목장형 유가공 ODA 사업 — 6개 시스템 기자재 리스트업</t>
        </is>
      </c>
    </row>
    <row r="2">
      <c r="A2" s="2" t="inlineStr">
        <is>
          <t>작성 하실장(D2O Agent System) | 기준일 2026-08-11 | 개정 3차 — 항목·규격·수량만 정리, 금액 미포함</t>
        </is>
      </c>
    </row>
    <row r="4">
      <c r="A4" s="3" t="inlineStr"/>
      <c r="B4" s="4" t="inlineStr"/>
    </row>
    <row r="5" ht="22" customHeight="1">
      <c r="A5" s="5" t="inlineStr">
        <is>
          <t>■ 1. 사업 범위 — 6개 시스템</t>
        </is>
      </c>
      <c r="B5" s="5" t="inlineStr"/>
    </row>
    <row r="6">
      <c r="A6" s="3" t="inlineStr">
        <is>
          <t>A. 착유우사</t>
        </is>
      </c>
      <c r="B6" s="4" t="inlineStr">
        <is>
          <t>축사 건축 · 축사 내부 기자재 · 환경제어 · 분만/송아지 관리 · 사양관리/방역 · 부대 유틸리티</t>
        </is>
      </c>
    </row>
    <row r="7">
      <c r="A7" s="3" t="inlineStr">
        <is>
          <t>B. 착유시스템(팔러)</t>
        </is>
      </c>
      <c r="B7" s="4" t="inlineStr">
        <is>
          <t>팔러착유기 2×8 · 진공/밀크라인 · 클러스터·라이너 · 개체인식·선별게이트 · 원유냉각탱크 · 프리쿨러 · CIP</t>
        </is>
      </c>
    </row>
    <row r="8">
      <c r="A8" s="3" t="inlineStr">
        <is>
          <t>C. TMR 배합 시스템</t>
        </is>
      </c>
      <c r="B8" s="4" t="inlineStr">
        <is>
          <t>TMR 배합기 10㎥·6㎥ · 사료밀기 로봇 · IJ-600L · 사료 저장시설(창고·벙커사일로·사일로) · 사료 품질관리</t>
        </is>
      </c>
    </row>
    <row r="9">
      <c r="A9" s="3" t="inlineStr">
        <is>
          <t>D. 분뇨처리 시스템</t>
        </is>
      </c>
      <c r="B9" s="4" t="inlineStr">
        <is>
          <t>스크래퍼 · 고액분리기 · 수직형 밀폐발효조 10톤/일 · 주행식 교반기 · 탈취 · 퇴비 상품화 · D2O 베딩 · 농기계</t>
        </is>
      </c>
    </row>
    <row r="10">
      <c r="A10" s="3" t="inlineStr">
        <is>
          <t>E. 번식관리(A.I.·ET)</t>
        </is>
      </c>
      <c r="B10" s="4" t="inlineStr">
        <is>
          <t>인공수정 기구·소모품 · 액체질소통 · 번식진단 초음파 · 수정란이식 기자재 · 검경·동결 · 유전자원 · 번식 작업실·기록</t>
        </is>
      </c>
    </row>
    <row r="11">
      <c r="A11" s="3" t="inlineStr">
        <is>
          <t>F. 목장형 유가공·유질관리</t>
        </is>
      </c>
      <c r="B11" s="4" t="inlineStr">
        <is>
          <t>목장형 유가공동 300㎡ · 2.5톤/일 가공라인 · 충전포장 · 유틸리티 · 유질검사 기자재 · 유질 관리 시스템</t>
        </is>
      </c>
    </row>
    <row r="12">
      <c r="A12" s="3" t="inlineStr"/>
      <c r="B12" s="4" t="inlineStr"/>
    </row>
    <row r="13" ht="22" customHeight="1">
      <c r="A13" s="5" t="inlineStr">
        <is>
          <t>■ 2. 사업 규모 (모든 항목 산정의 기준축)</t>
        </is>
      </c>
      <c r="B13" s="5" t="inlineStr"/>
    </row>
    <row r="14">
      <c r="A14" s="3" t="inlineStr">
        <is>
          <t>착유우사 규격</t>
        </is>
      </c>
      <c r="B14" s="4" t="inlineStr">
        <is>
          <t>60m × 45m × H10m = 2,700㎡ (원본 리스트 규격 그대로 적용)</t>
        </is>
      </c>
    </row>
    <row r="15">
      <c r="A15" s="3" t="inlineStr">
        <is>
          <t>착유우 두수</t>
        </is>
      </c>
      <c r="B15" s="4" t="inlineStr">
        <is>
          <t>100두 (회장님 지시 규모)</t>
        </is>
      </c>
    </row>
    <row r="16">
      <c r="A16" s="3" t="inlineStr">
        <is>
          <t>총 사육두수</t>
        </is>
      </c>
      <c r="B16" s="4" t="inlineStr">
        <is>
          <t>180두 = 착유 100 + 건유 20 + 육성·후보 60  — 착유우사 1개 동에 통합 수용(두당 15㎡)</t>
        </is>
      </c>
    </row>
    <row r="17">
      <c r="A17" s="3" t="inlineStr">
        <is>
          <t>1일 원유 생산량</t>
        </is>
      </c>
      <c r="B17" s="4" t="inlineStr">
        <is>
          <t>100두 × 25kg = 2,500kg = 2.5톤/일</t>
        </is>
      </c>
    </row>
    <row r="18">
      <c r="A18" s="3" t="inlineStr">
        <is>
          <t>유가공 처리량</t>
        </is>
      </c>
      <c r="B18" s="4" t="inlineStr">
        <is>
          <t>2.5톤/일 — 자가 원유 전량 처리. 착유우 100두 규모에 맞춘 목장형(farmstead) 최소 사양</t>
        </is>
      </c>
    </row>
    <row r="19">
      <c r="A19" s="3" t="inlineStr">
        <is>
          <t>퇴비 처리량</t>
        </is>
      </c>
      <c r="B19" s="4" t="inlineStr">
        <is>
          <t>약 8.1톤/일 (180두 × 45kg) — 수직형 밀폐 발효조 10톤/일 용량</t>
        </is>
      </c>
    </row>
    <row r="20">
      <c r="A20" s="3" t="inlineStr">
        <is>
          <t>사업 기간</t>
        </is>
      </c>
      <c r="B20" s="4" t="inlineStr">
        <is>
          <t>36개월 (1년차 설계·건축 / 2년차 기자재 설치·시운전 / 3년차 운영·정착)</t>
        </is>
      </c>
    </row>
    <row r="21">
      <c r="A21" s="3" t="inlineStr"/>
      <c r="B21" s="4" t="inlineStr"/>
    </row>
    <row r="22" ht="22" customHeight="1">
      <c r="A22" s="5" t="inlineStr">
        <is>
          <t>■ 3. 목장형 유가공 설계 방향</t>
        </is>
      </c>
      <c r="B22" s="5" t="inlineStr"/>
    </row>
    <row r="23">
      <c r="A23" s="3" t="inlineStr">
        <is>
          <t>규모 결정</t>
        </is>
      </c>
      <c r="B23" s="4" t="inlineStr">
        <is>
          <t>착유우 100두 = 원유 2.5톤/일. 유가공은 자가 원유 전량을 처리하는 규모로 확정했습니다.</t>
        </is>
      </c>
    </row>
    <row r="24" ht="34" customHeight="1">
      <c r="A24" s="3" t="inlineStr">
        <is>
          <t>핵심 설계</t>
        </is>
      </c>
      <c r="B24" s="4" t="inlineStr">
        <is>
          <t>대형 연속라인 대신 **다목적 가공탱크(살균·발효·치즈 겸용) 500L × 2기**를 축으로 구성했습니다. 목장형 유가공의 표준 방식이며, 1대로 여러 제품을 생산해 설비 수를 최소화합니다.</t>
        </is>
      </c>
    </row>
    <row r="25" ht="34" customHeight="1">
      <c r="A25" s="3" t="inlineStr">
        <is>
          <t>제품 구성</t>
        </is>
      </c>
      <c r="B25" s="4" t="inlineStr">
        <is>
          <t>시유(백색우유) · 요거트/그릭요거트 · 치즈(수리·브린자) · 버터 · 카이막 · 아이스크림 — 우즈벡 현지 수요와 송영신목장 기술을 함께 반영했습니다.</t>
        </is>
      </c>
    </row>
    <row r="26">
      <c r="A26" s="3" t="inlineStr">
        <is>
          <t>확장 여지</t>
        </is>
      </c>
      <c r="B26" s="4" t="inlineStr">
        <is>
          <t>인근 농가 집유로 5톤/일 규모까지 확대할 경우의 설비 상향안을 F-11에 옵션으로 별도 기재했습니다.</t>
        </is>
      </c>
    </row>
    <row r="27">
      <c r="A27" s="3" t="inlineStr"/>
      <c r="B27" s="4" t="inlineStr"/>
    </row>
    <row r="28" ht="22" customHeight="1">
      <c r="A28" s="5" t="inlineStr">
        <is>
          <t>■ 4. 원본 리스트 대비 보강 원칙</t>
        </is>
      </c>
      <c r="B28" s="5" t="inlineStr"/>
    </row>
    <row r="29" ht="34" customHeight="1">
      <c r="A29" s="3" t="inlineStr">
        <is>
          <t>원본 유지</t>
        </is>
      </c>
      <c r="B29" s="4" t="inlineStr">
        <is>
          <t>원본의 제품명·규격(IJ-600L, Minitube 제품군, MVE 액체질소통, MyLab One Vet, Tringa Linear 등)은 그대로 유지했습니다.</t>
        </is>
      </c>
    </row>
    <row r="30">
      <c r="A30" s="3" t="inlineStr">
        <is>
          <t>'?' 항목 확정</t>
        </is>
      </c>
      <c r="B30" s="4" t="inlineStr">
        <is>
          <t>원본에서 '?'로 비어 있던 항목의 규격을 확정했습니다.</t>
        </is>
      </c>
    </row>
    <row r="31" ht="34" customHeight="1">
      <c r="A31" s="3" t="inlineStr">
        <is>
          <t>실운영 필수품 보강</t>
        </is>
      </c>
      <c r="B31" s="4" t="inlineStr">
        <is>
          <t>서류 리스트에서 늘 빠지지만 없으면 목장이 안 돌아가는 항목을 보강했습니다 — 프리스톨·카우매트·헤드락·통로 그루빙·라이너 교체 소모품·세척약품·초유살균기·Brix 굴절계·귀표기·제각기·발굽삭제기·사료 수분측정기·TMR 입자도 체·유청 회수설비·예비부품.</t>
        </is>
      </c>
    </row>
    <row r="32">
      <c r="A32" s="3" t="inlineStr">
        <is>
          <t>공정 누락 보강</t>
        </is>
      </c>
      <c r="B32" s="4" t="inlineStr">
        <is>
          <t>분만실·송아지사·벙커사일로·번식 작업실·유질 관리 시스템(SW)을 추가했습니다.</t>
        </is>
      </c>
    </row>
    <row r="33">
      <c r="A33" s="3" t="inlineStr"/>
      <c r="B33" s="4" t="inlineStr"/>
    </row>
    <row r="34" ht="22" customHeight="1">
      <c r="A34" s="5" t="inlineStr">
        <is>
          <t>■ 5. 우즈베키스탄 현지 조건 반영</t>
        </is>
      </c>
      <c r="B34" s="5" t="inlineStr"/>
    </row>
    <row r="35">
      <c r="A35" s="3" t="inlineStr">
        <is>
          <t>혹서(하절기 40℃)</t>
        </is>
      </c>
      <c r="B35" s="4" t="inlineStr">
        <is>
          <t>대형 순환팬 20대 + 쿨링포그 + 윈치커튼 자동제어 + 환경 제어반  [A-3]</t>
        </is>
      </c>
    </row>
    <row r="36">
      <c r="A36" s="3" t="inlineStr">
        <is>
          <t>혹한(-20℃)</t>
        </is>
      </c>
      <c r="B36" s="4" t="inlineStr">
        <is>
          <t>축사 단열판넬 t=100 / 급수조 결빙방지 히터 / 밀폐 수직발효조(발효온도 유지) / 송아지 보온등  [A · D]</t>
        </is>
      </c>
    </row>
    <row r="37">
      <c r="A37" s="3" t="inlineStr">
        <is>
          <t>액체질소 수급</t>
        </is>
      </c>
      <c r="B37" s="4" t="inlineStr">
        <is>
          <t>질소발생기 미도입(회장님 결정). 액체질소통 + 3년 정기공급 계약으로 운용 — 공급계약 확보를 착수 전제조건으로 명시할 것  [E-3]</t>
        </is>
      </c>
    </row>
    <row r="38">
      <c r="A38" s="3" t="inlineStr">
        <is>
          <t>정전</t>
        </is>
      </c>
      <c r="B38" s="4" t="inlineStr">
        <is>
          <t>비상발전 150kW + ATS. 원유냉각탱크·유가공 냉장창고·백신냉장고·LN2 관련 설비를 우선 회로로 구성  [A-6]</t>
        </is>
      </c>
    </row>
    <row r="39">
      <c r="A39" s="3" t="inlineStr">
        <is>
          <t>부품·소모품 조달</t>
        </is>
      </c>
      <c r="B39" s="4" t="inlineStr">
        <is>
          <t>예비부품 2년분 초기재고 + 현지 반복조달 가능한 규격으로 소모품 선정  [A-6 · B-6 · C-5 · D-9 · E-10 · F-7]</t>
        </is>
      </c>
    </row>
    <row r="40">
      <c r="A40" s="3" t="inlineStr">
        <is>
          <t>원수 수질</t>
        </is>
      </c>
      <c r="B40" s="4" t="inlineStr">
        <is>
          <t>유가공 연수·정수 설비 — 원수 분석 후 사양 확정  [F-6]</t>
        </is>
      </c>
    </row>
    <row r="41">
      <c r="A41" s="3" t="inlineStr">
        <is>
          <t>내륙국 물류</t>
        </is>
      </c>
      <c r="B41" s="4" t="inlineStr">
        <is>
          <t>한국조달 품목은 해상·육상 복합운송 리드타임을 조달계획에 반영  ['조달' 컬럼 참조]</t>
        </is>
      </c>
    </row>
    <row r="42">
      <c r="A42" s="3" t="inlineStr"/>
      <c r="B42" s="4" t="inlineStr"/>
    </row>
    <row r="43" ht="22" customHeight="1">
      <c r="A43" s="5" t="inlineStr">
        <is>
          <t>■ 6. 본 문서의 성격</t>
        </is>
      </c>
      <c r="B43" s="5" t="inlineStr"/>
    </row>
    <row r="44">
      <c r="A44" s="3" t="inlineStr">
        <is>
          <t>범위</t>
        </is>
      </c>
      <c r="B44" s="4" t="inlineStr">
        <is>
          <t>항목 · 규격 · 수량 · 조달구분 · 설치요건까지만 정리했습니다. 금액은 포함하지 않습니다.</t>
        </is>
      </c>
    </row>
    <row r="45">
      <c r="A45" s="3" t="inlineStr">
        <is>
          <t>확정 절차</t>
        </is>
      </c>
      <c r="B45" s="4" t="inlineStr">
        <is>
          <t>각 품목의 최종 규격은 실시설계 및 공급사 사양서로 확정해야 합니다. '03.확정_필요사항' 시트 참조.</t>
        </is>
      </c>
    </row>
    <row r="46" ht="34" customHeight="1">
      <c r="A46" s="3" t="inlineStr">
        <is>
          <t>확장항목</t>
        </is>
      </c>
      <c r="B46" s="4" t="inlineStr">
        <is>
          <t>1차 지시에 있었으나 본 6개 시스템 범위에서 제외한 항목(IVF 실험실 · ICT 스마트팜 · 교육훈련 · 태양광 등)은 '04.확장항목_2단계' 시트에 보존했습니다.</t>
        </is>
      </c>
    </row>
    <row r="47">
      <c r="A47" s="3" t="inlineStr">
        <is>
          <t>성과 표현</t>
        </is>
      </c>
      <c r="B47" s="4" t="inlineStr">
        <is>
          <t>산유량·수태율·악취저감 등은 모두 기대목표(pilot target)이며 현장검증 계획을 병기해야 합니다.</t>
        </is>
      </c>
    </row>
    <row r="48">
      <c r="A48" s="3" t="inlineStr">
        <is>
          <t>유전자원 범위</t>
        </is>
      </c>
      <c r="B48" s="4" t="inlineStr">
        <is>
          <t>유전자원 이전 대상은 한국산 홀스타인 성감별(유용) 수정란·정액에 한정합니다. 한우 유전자원은 대상이 아닙니다.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21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7" customWidth="1" min="3" max="3"/>
    <col width="32" customWidth="1" min="4" max="4"/>
    <col width="46" customWidth="1" min="5" max="5"/>
    <col width="20" customWidth="1" min="6" max="6"/>
    <col width="6" customWidth="1" min="7" max="7"/>
    <col width="7" customWidth="1" min="8" max="8"/>
    <col width="9" customWidth="1" min="9" max="9"/>
    <col width="34" customWidth="1" min="10" max="10"/>
    <col width="52" customWidth="1" min="11" max="11"/>
  </cols>
  <sheetData>
    <row r="1">
      <c r="A1" s="1" t="inlineStr">
        <is>
          <t>6개 시스템 기자재 항목별 리스트업 (Master List)</t>
        </is>
      </c>
    </row>
    <row r="2">
      <c r="A2" s="2" t="inlineStr">
        <is>
          <t>★ = 원본 리스트 반영 또는 실운영 필수 보강항목 | ▲ = 조건부·확인필요 항목 | [옵션] = 선택 도입 | 금액 미포함</t>
        </is>
      </c>
    </row>
    <row r="4" ht="30" customHeight="1">
      <c r="A4" s="6" t="inlineStr">
        <is>
          <t>연번</t>
        </is>
      </c>
      <c r="B4" s="6" t="inlineStr">
        <is>
          <t>시스템</t>
        </is>
      </c>
      <c r="C4" s="6" t="inlineStr">
        <is>
          <t>중분류</t>
        </is>
      </c>
      <c r="D4" s="6" t="inlineStr">
        <is>
          <t>품 목</t>
        </is>
      </c>
      <c r="E4" s="6" t="inlineStr">
        <is>
          <t>규격 · 사양</t>
        </is>
      </c>
      <c r="F4" s="6" t="inlineStr">
        <is>
          <t>제품/모델 예시</t>
        </is>
      </c>
      <c r="G4" s="6" t="inlineStr">
        <is>
          <t>단위</t>
        </is>
      </c>
      <c r="H4" s="6" t="inlineStr">
        <is>
          <t>수량</t>
        </is>
      </c>
      <c r="I4" s="6" t="inlineStr">
        <is>
          <t>조달</t>
        </is>
      </c>
      <c r="J4" s="6" t="inlineStr">
        <is>
          <t>설치 · 연동 요건</t>
        </is>
      </c>
      <c r="K4" s="6" t="inlineStr">
        <is>
          <t>비고 · 실무 코멘트</t>
        </is>
      </c>
    </row>
    <row r="5" ht="32" customHeight="1">
      <c r="A5" s="7" t="n">
        <v>1</v>
      </c>
      <c r="B5" s="8" t="inlineStr">
        <is>
          <t>A. 착유우사</t>
        </is>
      </c>
      <c r="C5" s="8" t="inlineStr">
        <is>
          <t>A-1 건축</t>
        </is>
      </c>
      <c r="D5" s="9" t="inlineStr">
        <is>
          <t>착유우사(프리스톨)</t>
        </is>
      </c>
      <c r="E5" s="8" t="inlineStr">
        <is>
          <t>60m × 45m × H10m = 2,700㎡ / 철골조 + 우레탄 샌드위치판넬 t=100 / 프리스톨 군별 구획 / 자연환기(측벽 윈치커튼) + 대형 순환팬</t>
        </is>
      </c>
      <c r="F5" s="8" t="inlineStr">
        <is>
          <t>착유 100두 + 건유 20두 + 육성·후보 60두 = 180두 통합수용</t>
        </is>
      </c>
      <c r="G5" s="7" t="inlineStr">
        <is>
          <t>동</t>
        </is>
      </c>
      <c r="H5" s="10" t="n">
        <v>1</v>
      </c>
      <c r="I5" s="7" t="inlineStr">
        <is>
          <t>현지조달</t>
        </is>
      </c>
      <c r="J5" s="8" t="inlineStr">
        <is>
          <t>부지 정지 완료 후 착공 / 전기·급수 인입 선행</t>
        </is>
      </c>
      <c r="K5" s="8" t="inlineStr">
        <is>
          <t>★ 원본 규격 유지. 두당 15㎡ — 별동 육성사 불필요, 향후 착유우 200두까지 증축 없이 확장</t>
        </is>
      </c>
    </row>
    <row r="6" ht="32" customHeight="1">
      <c r="A6" s="7" t="n">
        <v>2</v>
      </c>
      <c r="B6" s="8" t="inlineStr">
        <is>
          <t>A. 착유우사</t>
        </is>
      </c>
      <c r="C6" s="8" t="inlineStr">
        <is>
          <t>A-1 건축</t>
        </is>
      </c>
      <c r="D6" s="9" t="inlineStr">
        <is>
          <t>착유실(팔러동)·원유실</t>
        </is>
      </c>
      <c r="E6" s="8" t="inlineStr">
        <is>
          <t>300㎡ / 위생 방수마감 / 에폭시 바닥 + 배수구배 / 팔러실·원유실·기계실·세척실 구획</t>
        </is>
      </c>
      <c r="F6" s="8" t="inlineStr">
        <is>
          <t>팔러 2×8 수용</t>
        </is>
      </c>
      <c r="G6" s="7" t="inlineStr">
        <is>
          <t>동</t>
        </is>
      </c>
      <c r="H6" s="10" t="n">
        <v>1</v>
      </c>
      <c r="I6" s="7" t="inlineStr">
        <is>
          <t>현지조달</t>
        </is>
      </c>
      <c r="J6" s="8" t="inlineStr">
        <is>
          <t>착유우사와 직결 동선 / 원유배관을 유가공동까지 연장</t>
        </is>
      </c>
      <c r="K6" s="8" t="inlineStr">
        <is>
          <t>바닥 구배·배수 시공이 위생의 8할 — 감리 중점항목</t>
        </is>
      </c>
    </row>
    <row r="7" ht="32" customHeight="1">
      <c r="A7" s="7" t="n">
        <v>3</v>
      </c>
      <c r="B7" s="8" t="inlineStr">
        <is>
          <t>A. 착유우사</t>
        </is>
      </c>
      <c r="C7" s="8" t="inlineStr">
        <is>
          <t>A-1 건축</t>
        </is>
      </c>
      <c r="D7" s="9" t="inlineStr">
        <is>
          <t>분만실·처치실</t>
        </is>
      </c>
      <c r="E7" s="8" t="inlineStr">
        <is>
          <t>150㎡ / 개별 분만칸 6칸 / 보정틀 설치 / 온수·조명·CCTV 배선</t>
        </is>
      </c>
      <c r="F7" s="8" t="inlineStr">
        <is>
          <t>-</t>
        </is>
      </c>
      <c r="G7" s="7" t="inlineStr">
        <is>
          <t>동</t>
        </is>
      </c>
      <c r="H7" s="10" t="n">
        <v>1</v>
      </c>
      <c r="I7" s="7" t="inlineStr">
        <is>
          <t>현지조달</t>
        </is>
      </c>
      <c r="J7" s="8" t="inlineStr">
        <is>
          <t>착유우사 인접, 별도 출입</t>
        </is>
      </c>
      <c r="K7" s="8" t="inlineStr">
        <is>
          <t>★ 원본 누락. 분만 관리가 송아지 생존율과 산차 성적을 좌우</t>
        </is>
      </c>
    </row>
    <row r="8" ht="32" customHeight="1">
      <c r="A8" s="7" t="n">
        <v>4</v>
      </c>
      <c r="B8" s="8" t="inlineStr">
        <is>
          <t>A. 착유우사</t>
        </is>
      </c>
      <c r="C8" s="8" t="inlineStr">
        <is>
          <t>A-1 건축</t>
        </is>
      </c>
      <c r="D8" s="9" t="inlineStr">
        <is>
          <t>송아지사(카프허치·그룹펜)</t>
        </is>
      </c>
      <c r="E8" s="8" t="inlineStr">
        <is>
          <t>200㎡ / 개체 허치 30개 + 그룹펜 4칸 / 개방형 + 방풍</t>
        </is>
      </c>
      <c r="F8" s="8" t="inlineStr">
        <is>
          <t>-</t>
        </is>
      </c>
      <c r="G8" s="7" t="inlineStr">
        <is>
          <t>동</t>
        </is>
      </c>
      <c r="H8" s="10" t="n">
        <v>1</v>
      </c>
      <c r="I8" s="7" t="inlineStr">
        <is>
          <t>현지조달</t>
        </is>
      </c>
      <c r="J8" s="8" t="inlineStr">
        <is>
          <t>성축사와 동선 분리(질병 차단)</t>
        </is>
      </c>
      <c r="K8" s="8" t="inlineStr">
        <is>
          <t>★ 원본 누락. 후보축 육성이 유전개량 성과의 출구</t>
        </is>
      </c>
    </row>
    <row r="9" ht="32" customHeight="1">
      <c r="A9" s="7" t="n">
        <v>5</v>
      </c>
      <c r="B9" s="8" t="inlineStr">
        <is>
          <t>A. 착유우사</t>
        </is>
      </c>
      <c r="C9" s="8" t="inlineStr">
        <is>
          <t>A-1 건축</t>
        </is>
      </c>
      <c r="D9" s="9" t="inlineStr">
        <is>
          <t>부지 정지·구내도로·우수배수·울타리</t>
        </is>
      </c>
      <c r="E9" s="8" t="inlineStr">
        <is>
          <t>부지 2.5ha / 진입로 500m / 방역 울타리 600m / 우수 배수로</t>
        </is>
      </c>
      <c r="F9" s="8" t="inlineStr">
        <is>
          <t>-</t>
        </is>
      </c>
      <c r="G9" s="7" t="inlineStr">
        <is>
          <t>식</t>
        </is>
      </c>
      <c r="H9" s="10" t="n">
        <v>1</v>
      </c>
      <c r="I9" s="7" t="inlineStr">
        <is>
          <t>현지조달</t>
        </is>
      </c>
      <c r="J9" s="8" t="inlineStr">
        <is>
          <t>모든 건축의 선행공정</t>
        </is>
      </c>
      <c r="K9" s="8" t="inlineStr">
        <is>
          <t>부지는 우즈벡측 무상제공 전제</t>
        </is>
      </c>
    </row>
    <row r="10" ht="32" customHeight="1">
      <c r="A10" s="7" t="n">
        <v>6</v>
      </c>
      <c r="B10" s="8" t="inlineStr">
        <is>
          <t>A. 착유우사</t>
        </is>
      </c>
      <c r="C10" s="8" t="inlineStr">
        <is>
          <t>A-1 건축</t>
        </is>
      </c>
      <c r="D10" s="9" t="inlineStr">
        <is>
          <t>축사 건축용 기자재(철골·샌드위치판넬 등)</t>
        </is>
      </c>
      <c r="E10" s="8" t="inlineStr">
        <is>
          <t>H형강·C형강 / 우레탄 샌드위치판넬 t=100 / 윈치커튼·환기 자재</t>
        </is>
      </c>
      <c r="F10" s="8" t="inlineStr">
        <is>
          <t>한국 조달 후 해상·육상 복합운송</t>
        </is>
      </c>
      <c r="G10" s="7" t="inlineStr">
        <is>
          <t>식</t>
        </is>
      </c>
      <c r="H10" s="10" t="n">
        <v>1</v>
      </c>
      <c r="I10" s="7" t="inlineStr">
        <is>
          <t>한국조달</t>
        </is>
      </c>
      <c r="J10" s="8" t="inlineStr">
        <is>
          <t>현지 시공사와 규격 사전 협의</t>
        </is>
      </c>
      <c r="K10" s="8" t="inlineStr">
        <is>
          <t>★ 원본 리스트 항목. 건축공사에 포함할지 분리조달할지 조달방식 결정 필요</t>
        </is>
      </c>
    </row>
    <row r="11" ht="32" customHeight="1">
      <c r="A11" s="7" t="n">
        <v>7</v>
      </c>
      <c r="B11" s="8" t="inlineStr">
        <is>
          <t>A. 착유우사</t>
        </is>
      </c>
      <c r="C11" s="8" t="inlineStr">
        <is>
          <t>A-1 건축</t>
        </is>
      </c>
      <c r="D11" s="9" t="inlineStr">
        <is>
          <t>기본설계·실시설계·시공감리</t>
        </is>
      </c>
      <c r="E11" s="8" t="inlineStr">
        <is>
          <t>건축·토목·설비·전기 통합 / 감리 상주</t>
        </is>
      </c>
      <c r="F11" s="8" t="inlineStr">
        <is>
          <t>-</t>
        </is>
      </c>
      <c r="G11" s="7" t="inlineStr">
        <is>
          <t>식</t>
        </is>
      </c>
      <c r="H11" s="10" t="n">
        <v>1</v>
      </c>
      <c r="I11" s="7" t="inlineStr">
        <is>
          <t>한국+현지</t>
        </is>
      </c>
      <c r="J11" s="8" t="inlineStr">
        <is>
          <t>-</t>
        </is>
      </c>
      <c r="K11" s="8" t="inlineStr">
        <is>
          <t>현지 설계기준·내진기준 확인 필요</t>
        </is>
      </c>
    </row>
    <row r="12" ht="32" customHeight="1">
      <c r="A12" s="7" t="n">
        <v>8</v>
      </c>
      <c r="B12" s="8" t="inlineStr">
        <is>
          <t>A. 착유우사</t>
        </is>
      </c>
      <c r="C12" s="8" t="inlineStr">
        <is>
          <t>A-2 축사 내부</t>
        </is>
      </c>
      <c r="D12" s="9" t="inlineStr">
        <is>
          <t>프리스톨 스톨 프레임(착유·건유우용)</t>
        </is>
      </c>
      <c r="E12" s="8" t="inlineStr">
        <is>
          <t>아연도금 강관 / 1,200 × 2,400mm / 넥레일·브리스킷보드 포함</t>
        </is>
      </c>
      <c r="F12" s="8" t="inlineStr">
        <is>
          <t>-</t>
        </is>
      </c>
      <c r="G12" s="7" t="inlineStr">
        <is>
          <t>두</t>
        </is>
      </c>
      <c r="H12" s="10" t="n">
        <v>120</v>
      </c>
      <c r="I12" s="7" t="inlineStr">
        <is>
          <t>한국조달</t>
        </is>
      </c>
      <c r="J12" s="8" t="inlineStr">
        <is>
          <t>우사 바닥 앵커 시공 선행</t>
        </is>
      </c>
      <c r="K12" s="8" t="inlineStr">
        <is>
          <t>★ 원본 누락. 스톨 치수가 유방염·발굽병 발생률을 좌우</t>
        </is>
      </c>
    </row>
    <row r="13" ht="32" customHeight="1">
      <c r="A13" s="7" t="n">
        <v>9</v>
      </c>
      <c r="B13" s="8" t="inlineStr">
        <is>
          <t>A. 착유우사</t>
        </is>
      </c>
      <c r="C13" s="8" t="inlineStr">
        <is>
          <t>A-2 축사 내부</t>
        </is>
      </c>
      <c r="D13" s="9" t="inlineStr">
        <is>
          <t>프리스톨 스톨 프레임(육성우용)</t>
        </is>
      </c>
      <c r="E13" s="8" t="inlineStr">
        <is>
          <t>아연도금 강관 / 1,050 × 2,100mm</t>
        </is>
      </c>
      <c r="F13" s="8" t="inlineStr">
        <is>
          <t>-</t>
        </is>
      </c>
      <c r="G13" s="7" t="inlineStr">
        <is>
          <t>두</t>
        </is>
      </c>
      <c r="H13" s="10" t="n">
        <v>60</v>
      </c>
      <c r="I13" s="7" t="inlineStr">
        <is>
          <t>한국조달</t>
        </is>
      </c>
      <c r="J13" s="8" t="inlineStr">
        <is>
          <t>-</t>
        </is>
      </c>
      <c r="K13" s="8" t="inlineStr">
        <is>
          <t>★ 원본 누락</t>
        </is>
      </c>
    </row>
    <row r="14" ht="32" customHeight="1">
      <c r="A14" s="7" t="n">
        <v>10</v>
      </c>
      <c r="B14" s="8" t="inlineStr">
        <is>
          <t>A. 착유우사</t>
        </is>
      </c>
      <c r="C14" s="8" t="inlineStr">
        <is>
          <t>A-2 축사 내부</t>
        </is>
      </c>
      <c r="D14" s="9" t="inlineStr">
        <is>
          <t>카우 매트리스(우상 매트)</t>
        </is>
      </c>
      <c r="E14" s="8" t="inlineStr">
        <is>
          <t>고무·라텍스 충전형 t=50mm / 방수 커버</t>
        </is>
      </c>
      <c r="F14" s="8" t="inlineStr">
        <is>
          <t>-</t>
        </is>
      </c>
      <c r="G14" s="7" t="inlineStr">
        <is>
          <t>매</t>
        </is>
      </c>
      <c r="H14" s="10" t="n">
        <v>180</v>
      </c>
      <c r="I14" s="7" t="inlineStr">
        <is>
          <t>한국조달</t>
        </is>
      </c>
      <c r="J14" s="8" t="inlineStr">
        <is>
          <t>스톨 프레임 설치 후</t>
        </is>
      </c>
      <c r="K14" s="8" t="inlineStr">
        <is>
          <t>★ 원본 누락. 체세포·기립시간 개선 직결</t>
        </is>
      </c>
    </row>
    <row r="15" ht="32" customHeight="1">
      <c r="A15" s="7" t="n">
        <v>11</v>
      </c>
      <c r="B15" s="8" t="inlineStr">
        <is>
          <t>A. 착유우사</t>
        </is>
      </c>
      <c r="C15" s="8" t="inlineStr">
        <is>
          <t>A-2 축사 내부</t>
        </is>
      </c>
      <c r="D15" s="9" t="inlineStr">
        <is>
          <t>헤드락(사료급이 자가고정 펜스)</t>
        </is>
      </c>
      <c r="E15" s="8" t="inlineStr">
        <is>
          <t>자가고정형 / 두당 0.7m</t>
        </is>
      </c>
      <c r="F15" s="8" t="inlineStr">
        <is>
          <t>-</t>
        </is>
      </c>
      <c r="G15" s="7" t="inlineStr">
        <is>
          <t>두</t>
        </is>
      </c>
      <c r="H15" s="10" t="n">
        <v>180</v>
      </c>
      <c r="I15" s="7" t="inlineStr">
        <is>
          <t>한국조달</t>
        </is>
      </c>
      <c r="J15" s="8" t="inlineStr">
        <is>
          <t>사료조와 일체 시공</t>
        </is>
      </c>
      <c r="K15" s="8" t="inlineStr">
        <is>
          <t>★ 원본 누락. 수정·백신·직검 시 개체 보정에 필수</t>
        </is>
      </c>
    </row>
    <row r="16" ht="32" customHeight="1">
      <c r="A16" s="7" t="n">
        <v>12</v>
      </c>
      <c r="B16" s="8" t="inlineStr">
        <is>
          <t>A. 착유우사</t>
        </is>
      </c>
      <c r="C16" s="8" t="inlineStr">
        <is>
          <t>A-2 축사 내부</t>
        </is>
      </c>
      <c r="D16" s="9" t="inlineStr">
        <is>
          <t>사료조(사료대) 라이닝</t>
        </is>
      </c>
      <c r="E16" s="8" t="inlineStr">
        <is>
          <t>콘크리트 + 에폭시 코팅 또는 스테인리스 라이닝 / 총연장 120m</t>
        </is>
      </c>
      <c r="F16" s="8" t="inlineStr">
        <is>
          <t>-</t>
        </is>
      </c>
      <c r="G16" s="7" t="inlineStr">
        <is>
          <t>m</t>
        </is>
      </c>
      <c r="H16" s="10" t="n">
        <v>120</v>
      </c>
      <c r="I16" s="7" t="inlineStr">
        <is>
          <t>현지조달</t>
        </is>
      </c>
      <c r="J16" s="8" t="inlineStr">
        <is>
          <t>헤드락과 동시 시공</t>
        </is>
      </c>
      <c r="K16" s="8" t="inlineStr">
        <is>
          <t>라이닝 없으면 사료 부패·산패로 섭취량 저하</t>
        </is>
      </c>
    </row>
    <row r="17" ht="32" customHeight="1">
      <c r="A17" s="7" t="n">
        <v>13</v>
      </c>
      <c r="B17" s="8" t="inlineStr">
        <is>
          <t>A. 착유우사</t>
        </is>
      </c>
      <c r="C17" s="8" t="inlineStr">
        <is>
          <t>A-2 축사 내부</t>
        </is>
      </c>
      <c r="D17" s="9" t="inlineStr">
        <is>
          <t>자동 급수조(보온형·수량계측)</t>
        </is>
      </c>
      <c r="E17" s="8" t="inlineStr">
        <is>
          <t>스테인리스 / 결빙방지 히터 / 유량계 내장</t>
        </is>
      </c>
      <c r="F17" s="8" t="inlineStr">
        <is>
          <t>-</t>
        </is>
      </c>
      <c r="G17" s="7" t="inlineStr">
        <is>
          <t>대</t>
        </is>
      </c>
      <c r="H17" s="10" t="n">
        <v>8</v>
      </c>
      <c r="I17" s="7" t="inlineStr">
        <is>
          <t>한국조달</t>
        </is>
      </c>
      <c r="J17" s="8" t="inlineStr">
        <is>
          <t>급수 배관·전원 배선</t>
        </is>
      </c>
      <c r="K17" s="8" t="inlineStr">
        <is>
          <t>음수량 급감 = 질병 최조기 지표</t>
        </is>
      </c>
    </row>
    <row r="18" ht="32" customHeight="1">
      <c r="A18" s="7" t="n">
        <v>14</v>
      </c>
      <c r="B18" s="8" t="inlineStr">
        <is>
          <t>A. 착유우사</t>
        </is>
      </c>
      <c r="C18" s="8" t="inlineStr">
        <is>
          <t>A-2 축사 내부</t>
        </is>
      </c>
      <c r="D18" s="9" t="inlineStr">
        <is>
          <t>우군 분리 펜스·게이트</t>
        </is>
      </c>
      <c r="E18" s="8" t="inlineStr">
        <is>
          <t>아연도금 파이프 / 군 이동 동선 구성</t>
        </is>
      </c>
      <c r="F18" s="8" t="inlineStr">
        <is>
          <t>-</t>
        </is>
      </c>
      <c r="G18" s="7" t="inlineStr">
        <is>
          <t>식</t>
        </is>
      </c>
      <c r="H18" s="10" t="n">
        <v>1</v>
      </c>
      <c r="I18" s="7" t="inlineStr">
        <is>
          <t>한국+현지</t>
        </is>
      </c>
      <c r="J18" s="8" t="inlineStr">
        <is>
          <t>-</t>
        </is>
      </c>
      <c r="K18" s="8" t="inlineStr">
        <is>
          <t>-</t>
        </is>
      </c>
    </row>
    <row r="19" ht="32" customHeight="1">
      <c r="A19" s="7" t="n">
        <v>15</v>
      </c>
      <c r="B19" s="8" t="inlineStr">
        <is>
          <t>A. 착유우사</t>
        </is>
      </c>
      <c r="C19" s="8" t="inlineStr">
        <is>
          <t>A-2 축사 내부</t>
        </is>
      </c>
      <c r="D19" s="9" t="inlineStr">
        <is>
          <t>우사 통로 논슬립 그루빙(홈파기)</t>
        </is>
      </c>
      <c r="E19" s="8" t="inlineStr">
        <is>
          <t>콘크리트 바닥 홈파기 / 약 2,000㎡</t>
        </is>
      </c>
      <c r="F19" s="8" t="inlineStr">
        <is>
          <t>-</t>
        </is>
      </c>
      <c r="G19" s="7" t="inlineStr">
        <is>
          <t>㎡</t>
        </is>
      </c>
      <c r="H19" s="10" t="n">
        <v>2000</v>
      </c>
      <c r="I19" s="7" t="inlineStr">
        <is>
          <t>현지조달</t>
        </is>
      </c>
      <c r="J19" s="8" t="inlineStr">
        <is>
          <t>바닥 양생 완료 후 시공</t>
        </is>
      </c>
      <c r="K19" s="8" t="inlineStr">
        <is>
          <t>★ 원본 누락. 미끄럼 방지 = 발정 표현·발굽 건강 직결</t>
        </is>
      </c>
    </row>
    <row r="20" ht="32" customHeight="1">
      <c r="A20" s="7" t="n">
        <v>16</v>
      </c>
      <c r="B20" s="8" t="inlineStr">
        <is>
          <t>A. 착유우사</t>
        </is>
      </c>
      <c r="C20" s="8" t="inlineStr">
        <is>
          <t>A-2 축사 내부</t>
        </is>
      </c>
      <c r="D20" s="9" t="inlineStr">
        <is>
          <t>보정틀(스탄치온) — 진료·수정·이식 겸용</t>
        </is>
      </c>
      <c r="E20" s="8" t="inlineStr">
        <is>
          <t>이동식 / 측면 개방형</t>
        </is>
      </c>
      <c r="F20" s="8" t="inlineStr">
        <is>
          <t>-</t>
        </is>
      </c>
      <c r="G20" s="7" t="inlineStr">
        <is>
          <t>대</t>
        </is>
      </c>
      <c r="H20" s="10" t="n">
        <v>2</v>
      </c>
      <c r="I20" s="7" t="inlineStr">
        <is>
          <t>한국조달</t>
        </is>
      </c>
      <c r="J20" s="8" t="inlineStr">
        <is>
          <t>번식관리(E군) 작업 동선에 배치</t>
        </is>
      </c>
      <c r="K20" s="8" t="inlineStr">
        <is>
          <t>-</t>
        </is>
      </c>
    </row>
    <row r="21" ht="32" customHeight="1">
      <c r="A21" s="7" t="n">
        <v>17</v>
      </c>
      <c r="B21" s="8" t="inlineStr">
        <is>
          <t>A. 착유우사</t>
        </is>
      </c>
      <c r="C21" s="8" t="inlineStr">
        <is>
          <t>A-2 축사 내부</t>
        </is>
      </c>
      <c r="D21" s="9" t="inlineStr">
        <is>
          <t>발굽 삭제용 보정틀(카프 크러시)</t>
        </is>
      </c>
      <c r="E21" s="8" t="inlineStr">
        <is>
          <t>유압식 또는 수동식 / 4지 고정</t>
        </is>
      </c>
      <c r="F21" s="8" t="inlineStr">
        <is>
          <t>-</t>
        </is>
      </c>
      <c r="G21" s="7" t="inlineStr">
        <is>
          <t>대</t>
        </is>
      </c>
      <c r="H21" s="10" t="n">
        <v>1</v>
      </c>
      <c r="I21" s="7" t="inlineStr">
        <is>
          <t>한국조달</t>
        </is>
      </c>
      <c r="J21" s="8" t="inlineStr">
        <is>
          <t>별도 작업 공간 확보</t>
        </is>
      </c>
      <c r="K21" s="8" t="inlineStr">
        <is>
          <t>★ 원본 누락. 중앙아 사양환경상 발굽질환 다발 — 정기 삭제 필수</t>
        </is>
      </c>
    </row>
    <row r="22" ht="32" customHeight="1">
      <c r="A22" s="7" t="n">
        <v>18</v>
      </c>
      <c r="B22" s="8" t="inlineStr">
        <is>
          <t>A. 착유우사</t>
        </is>
      </c>
      <c r="C22" s="8" t="inlineStr">
        <is>
          <t>A-3 환경제어</t>
        </is>
      </c>
      <c r="D22" s="9" t="inlineStr">
        <is>
          <t>대형 순환팬</t>
        </is>
      </c>
      <c r="E22" s="8" t="inlineStr">
        <is>
          <t>직경 1.2m 이상 / 방수·방진 / 온도 연동 제어</t>
        </is>
      </c>
      <c r="F22" s="8" t="inlineStr">
        <is>
          <t>-</t>
        </is>
      </c>
      <c r="G22" s="7" t="inlineStr">
        <is>
          <t>대</t>
        </is>
      </c>
      <c r="H22" s="10" t="n">
        <v>20</v>
      </c>
      <c r="I22" s="7" t="inlineStr">
        <is>
          <t>한국조달</t>
        </is>
      </c>
      <c r="J22" s="8" t="inlineStr">
        <is>
          <t>환경 제어반 연동</t>
        </is>
      </c>
      <c r="K22" s="8" t="inlineStr">
        <is>
          <t>★ 하절기 40℃ 대응 — 열스트레스 대책 최우선</t>
        </is>
      </c>
    </row>
    <row r="23" ht="32" customHeight="1">
      <c r="A23" s="7" t="n">
        <v>19</v>
      </c>
      <c r="B23" s="8" t="inlineStr">
        <is>
          <t>A. 착유우사</t>
        </is>
      </c>
      <c r="C23" s="8" t="inlineStr">
        <is>
          <t>A-3 환경제어</t>
        </is>
      </c>
      <c r="D23" s="9" t="inlineStr">
        <is>
          <t>쿨링 포그·스프링클러 라인</t>
        </is>
      </c>
      <c r="E23" s="8" t="inlineStr">
        <is>
          <t>사료대·대기장 구간 / 노즐·배관·펌프 / 온습도 연동 자동가동</t>
        </is>
      </c>
      <c r="F23" s="8" t="inlineStr">
        <is>
          <t>-</t>
        </is>
      </c>
      <c r="G23" s="7" t="inlineStr">
        <is>
          <t>식</t>
        </is>
      </c>
      <c r="H23" s="10" t="n">
        <v>1</v>
      </c>
      <c r="I23" s="7" t="inlineStr">
        <is>
          <t>한국조달</t>
        </is>
      </c>
      <c r="J23" s="8" t="inlineStr">
        <is>
          <t>급수·전기 배관 동시 시공</t>
        </is>
      </c>
      <c r="K23" s="8" t="inlineStr">
        <is>
          <t>팬과 조합해야 효과 — 단독 설치 금지</t>
        </is>
      </c>
    </row>
    <row r="24" ht="32" customHeight="1">
      <c r="A24" s="7" t="n">
        <v>20</v>
      </c>
      <c r="B24" s="8" t="inlineStr">
        <is>
          <t>A. 착유우사</t>
        </is>
      </c>
      <c r="C24" s="8" t="inlineStr">
        <is>
          <t>A-3 환경제어</t>
        </is>
      </c>
      <c r="D24" s="9" t="inlineStr">
        <is>
          <t>윈치커튼(측벽 개폐) + 자동제어</t>
        </is>
      </c>
      <c r="E24" s="8" t="inlineStr">
        <is>
          <t>측면 120m × 2면 / 풍속·온도 연동 모터 제어</t>
        </is>
      </c>
      <c r="F24" s="8" t="inlineStr">
        <is>
          <t>-</t>
        </is>
      </c>
      <c r="G24" s="7" t="inlineStr">
        <is>
          <t>식</t>
        </is>
      </c>
      <c r="H24" s="10" t="n">
        <v>1</v>
      </c>
      <c r="I24" s="7" t="inlineStr">
        <is>
          <t>한국조달</t>
        </is>
      </c>
      <c r="J24" s="8" t="inlineStr">
        <is>
          <t>환경 제어반 연동</t>
        </is>
      </c>
      <c r="K24" s="8" t="inlineStr">
        <is>
          <t>-</t>
        </is>
      </c>
    </row>
    <row r="25" ht="32" customHeight="1">
      <c r="A25" s="7" t="n">
        <v>21</v>
      </c>
      <c r="B25" s="8" t="inlineStr">
        <is>
          <t>A. 착유우사</t>
        </is>
      </c>
      <c r="C25" s="8" t="inlineStr">
        <is>
          <t>A-3 환경제어</t>
        </is>
      </c>
      <c r="D25" s="9" t="inlineStr">
        <is>
          <t>축사 환경 제어반(온습도 센서 연동)</t>
        </is>
      </c>
      <c r="E25" s="8" t="inlineStr">
        <is>
          <t>온습도·풍속 센서 + 팬·포그·커튼 통합 자동제어</t>
        </is>
      </c>
      <c r="F25" s="8" t="inlineStr">
        <is>
          <t>-</t>
        </is>
      </c>
      <c r="G25" s="7" t="inlineStr">
        <is>
          <t>식</t>
        </is>
      </c>
      <c r="H25" s="10" t="n">
        <v>1</v>
      </c>
      <c r="I25" s="7" t="inlineStr">
        <is>
          <t>한국조달</t>
        </is>
      </c>
      <c r="J25" s="8" t="inlineStr">
        <is>
          <t>팬·포그·커튼 전 계통 연동</t>
        </is>
      </c>
      <c r="K25" s="8" t="inlineStr">
        <is>
          <t>환경 제어의 최소 구성. 정밀 계측기자재는 확장항목(2단계) 참조</t>
        </is>
      </c>
    </row>
    <row r="26" ht="32" customHeight="1">
      <c r="A26" s="7" t="n">
        <v>22</v>
      </c>
      <c r="B26" s="8" t="inlineStr">
        <is>
          <t>A. 착유우사</t>
        </is>
      </c>
      <c r="C26" s="8" t="inlineStr">
        <is>
          <t>A-3 환경제어</t>
        </is>
      </c>
      <c r="D26" s="9" t="inlineStr">
        <is>
          <t>LED 장일조명(16시간 조명 프로그램)</t>
        </is>
      </c>
      <c r="E26" s="8" t="inlineStr">
        <is>
          <t>방수형 IP65 / 우상 조도 160lux 이상 / 타이머 제어</t>
        </is>
      </c>
      <c r="F26" s="8" t="inlineStr">
        <is>
          <t>-</t>
        </is>
      </c>
      <c r="G26" s="7" t="inlineStr">
        <is>
          <t>개</t>
        </is>
      </c>
      <c r="H26" s="10" t="n">
        <v>60</v>
      </c>
      <c r="I26" s="7" t="inlineStr">
        <is>
          <t>한국조달</t>
        </is>
      </c>
      <c r="J26" s="8" t="inlineStr">
        <is>
          <t>타이머 제어반 연동</t>
        </is>
      </c>
      <c r="K26" s="8" t="inlineStr">
        <is>
          <t>★ 원본 누락. 장일조명은 산유량 개선이 기대되는 저비용 수단(현장검증 병행)</t>
        </is>
      </c>
    </row>
    <row r="27" ht="32" customHeight="1">
      <c r="A27" s="7" t="n">
        <v>23</v>
      </c>
      <c r="B27" s="8" t="inlineStr">
        <is>
          <t>A. 착유우사</t>
        </is>
      </c>
      <c r="C27" s="8" t="inlineStr">
        <is>
          <t>A-3 환경제어</t>
        </is>
      </c>
      <c r="D27" s="9" t="inlineStr">
        <is>
          <t>야간 보안·작업 조명</t>
        </is>
      </c>
      <c r="E27" s="8" t="inlineStr">
        <is>
          <t>-</t>
        </is>
      </c>
      <c r="F27" s="8" t="inlineStr">
        <is>
          <t>-</t>
        </is>
      </c>
      <c r="G27" s="7" t="inlineStr">
        <is>
          <t>식</t>
        </is>
      </c>
      <c r="H27" s="10" t="n">
        <v>1</v>
      </c>
      <c r="I27" s="7" t="inlineStr">
        <is>
          <t>한국+현지</t>
        </is>
      </c>
      <c r="J27" s="8" t="inlineStr">
        <is>
          <t>-</t>
        </is>
      </c>
      <c r="K27" s="8" t="inlineStr">
        <is>
          <t>-</t>
        </is>
      </c>
    </row>
    <row r="28" ht="32" customHeight="1">
      <c r="A28" s="7" t="n">
        <v>24</v>
      </c>
      <c r="B28" s="8" t="inlineStr">
        <is>
          <t>A. 착유우사</t>
        </is>
      </c>
      <c r="C28" s="8" t="inlineStr">
        <is>
          <t>A-3 환경제어</t>
        </is>
      </c>
      <c r="D28" s="9" t="inlineStr">
        <is>
          <t>조류·해충 방충망</t>
        </is>
      </c>
      <c r="E28" s="8" t="inlineStr">
        <is>
          <t>측벽·개구부</t>
        </is>
      </c>
      <c r="F28" s="8" t="inlineStr">
        <is>
          <t>-</t>
        </is>
      </c>
      <c r="G28" s="7" t="inlineStr">
        <is>
          <t>식</t>
        </is>
      </c>
      <c r="H28" s="10" t="n">
        <v>1</v>
      </c>
      <c r="I28" s="7" t="inlineStr">
        <is>
          <t>한국+현지</t>
        </is>
      </c>
      <c r="J28" s="8" t="inlineStr">
        <is>
          <t>-</t>
        </is>
      </c>
      <c r="K28" s="8" t="inlineStr">
        <is>
          <t>사료 오염·질병 매개 차단</t>
        </is>
      </c>
    </row>
    <row r="29" ht="32" customHeight="1">
      <c r="A29" s="7" t="n">
        <v>25</v>
      </c>
      <c r="B29" s="8" t="inlineStr">
        <is>
          <t>A. 착유우사</t>
        </is>
      </c>
      <c r="C29" s="8" t="inlineStr">
        <is>
          <t>A-3 환경제어</t>
        </is>
      </c>
      <c r="D29" s="9" t="inlineStr">
        <is>
          <t>축사 CCTV</t>
        </is>
      </c>
      <c r="E29" s="8" t="inlineStr">
        <is>
          <t>16채널 / 야간 적외선 / 원격 열람</t>
        </is>
      </c>
      <c r="F29" s="8" t="inlineStr">
        <is>
          <t>-</t>
        </is>
      </c>
      <c r="G29" s="7" t="inlineStr">
        <is>
          <t>식</t>
        </is>
      </c>
      <c r="H29" s="10" t="n">
        <v>1</v>
      </c>
      <c r="I29" s="7" t="inlineStr">
        <is>
          <t>한국조달</t>
        </is>
      </c>
      <c r="J29" s="8" t="inlineStr">
        <is>
          <t>분만 감시 겸용</t>
        </is>
      </c>
      <c r="K29" s="8" t="inlineStr">
        <is>
          <t>-</t>
        </is>
      </c>
    </row>
    <row r="30" ht="32" customHeight="1">
      <c r="A30" s="7" t="n">
        <v>26</v>
      </c>
      <c r="B30" s="8" t="inlineStr">
        <is>
          <t>A. 착유우사</t>
        </is>
      </c>
      <c r="C30" s="8" t="inlineStr">
        <is>
          <t>A-4 분만·송아지</t>
        </is>
      </c>
      <c r="D30" s="9" t="inlineStr">
        <is>
          <t>개별 카프 허치 + 급이통·급수통</t>
        </is>
      </c>
      <c r="E30" s="8" t="inlineStr">
        <is>
          <t>FRP 개체 허치 / 울타리 포함</t>
        </is>
      </c>
      <c r="F30" s="8" t="inlineStr">
        <is>
          <t>-</t>
        </is>
      </c>
      <c r="G30" s="7" t="inlineStr">
        <is>
          <t>조</t>
        </is>
      </c>
      <c r="H30" s="10" t="n">
        <v>30</v>
      </c>
      <c r="I30" s="7" t="inlineStr">
        <is>
          <t>한국조달</t>
        </is>
      </c>
      <c r="J30" s="8" t="inlineStr">
        <is>
          <t>성축사와 동선 분리</t>
        </is>
      </c>
      <c r="K30" s="8" t="inlineStr">
        <is>
          <t>★ 원본 누락. 이유 전 개체사육이 폐사율을 좌우</t>
        </is>
      </c>
    </row>
    <row r="31" ht="32" customHeight="1">
      <c r="A31" s="7" t="n">
        <v>27</v>
      </c>
      <c r="B31" s="8" t="inlineStr">
        <is>
          <t>A. 착유우사</t>
        </is>
      </c>
      <c r="C31" s="8" t="inlineStr">
        <is>
          <t>A-4 분만·송아지</t>
        </is>
      </c>
      <c r="D31" s="9" t="inlineStr">
        <is>
          <t>그룹 카프펜</t>
        </is>
      </c>
      <c r="E31" s="8" t="inlineStr">
        <is>
          <t>이유 후 그룹사육 4칸</t>
        </is>
      </c>
      <c r="F31" s="8" t="inlineStr">
        <is>
          <t>-</t>
        </is>
      </c>
      <c r="G31" s="7" t="inlineStr">
        <is>
          <t>식</t>
        </is>
      </c>
      <c r="H31" s="10" t="n">
        <v>1</v>
      </c>
      <c r="I31" s="7" t="inlineStr">
        <is>
          <t>한국+현지</t>
        </is>
      </c>
      <c r="J31" s="8" t="inlineStr">
        <is>
          <t>-</t>
        </is>
      </c>
      <c r="K31" s="8" t="inlineStr">
        <is>
          <t>-</t>
        </is>
      </c>
    </row>
    <row r="32" ht="32" customHeight="1">
      <c r="A32" s="7" t="n">
        <v>28</v>
      </c>
      <c r="B32" s="8" t="inlineStr">
        <is>
          <t>A. 착유우사</t>
        </is>
      </c>
      <c r="C32" s="8" t="inlineStr">
        <is>
          <t>A-4 분만·송아지</t>
        </is>
      </c>
      <c r="D32" s="9" t="inlineStr">
        <is>
          <t>초유 살균기</t>
        </is>
      </c>
      <c r="E32" s="8" t="inlineStr">
        <is>
          <t>60℃ 60분 저온살균 / 배치식</t>
        </is>
      </c>
      <c r="F32" s="8" t="inlineStr">
        <is>
          <t>-</t>
        </is>
      </c>
      <c r="G32" s="7" t="inlineStr">
        <is>
          <t>대</t>
        </is>
      </c>
      <c r="H32" s="10" t="n">
        <v>1</v>
      </c>
      <c r="I32" s="7" t="inlineStr">
        <is>
          <t>한국조달</t>
        </is>
      </c>
      <c r="J32" s="8" t="inlineStr">
        <is>
          <t>초유 냉동고와 세트 운용</t>
        </is>
      </c>
      <c r="K32" s="11" t="inlineStr">
        <is>
          <t>★★ 원본 누락. 초유 관리가 송아지 생존율의 최대 변수</t>
        </is>
      </c>
    </row>
    <row r="33" ht="32" customHeight="1">
      <c r="A33" s="7" t="n">
        <v>29</v>
      </c>
      <c r="B33" s="8" t="inlineStr">
        <is>
          <t>A. 착유우사</t>
        </is>
      </c>
      <c r="C33" s="8" t="inlineStr">
        <is>
          <t>A-4 분만·송아지</t>
        </is>
      </c>
      <c r="D33" s="9" t="inlineStr">
        <is>
          <t>초유 냉동고 + 초유 저장백</t>
        </is>
      </c>
      <c r="E33" s="8" t="inlineStr">
        <is>
          <t>-20℃ / 초유백 200매</t>
        </is>
      </c>
      <c r="F33" s="8" t="inlineStr">
        <is>
          <t>-</t>
        </is>
      </c>
      <c r="G33" s="7" t="inlineStr">
        <is>
          <t>식</t>
        </is>
      </c>
      <c r="H33" s="10" t="n">
        <v>1</v>
      </c>
      <c r="I33" s="7" t="inlineStr">
        <is>
          <t>한국조달</t>
        </is>
      </c>
      <c r="J33" s="8" t="inlineStr">
        <is>
          <t>비상발전 연동</t>
        </is>
      </c>
      <c r="K33" s="8" t="inlineStr">
        <is>
          <t>-</t>
        </is>
      </c>
    </row>
    <row r="34" ht="32" customHeight="1">
      <c r="A34" s="7" t="n">
        <v>30</v>
      </c>
      <c r="B34" s="8" t="inlineStr">
        <is>
          <t>A. 착유우사</t>
        </is>
      </c>
      <c r="C34" s="8" t="inlineStr">
        <is>
          <t>A-4 분만·송아지</t>
        </is>
      </c>
      <c r="D34" s="9" t="inlineStr">
        <is>
          <t>초유 품질 측정기(Brix 굴절계)</t>
        </is>
      </c>
      <c r="E34" s="8" t="inlineStr">
        <is>
          <t>디지털 / IgG 간이 추정</t>
        </is>
      </c>
      <c r="F34" s="8" t="inlineStr">
        <is>
          <t>-</t>
        </is>
      </c>
      <c r="G34" s="7" t="inlineStr">
        <is>
          <t>대</t>
        </is>
      </c>
      <c r="H34" s="10" t="n">
        <v>2</v>
      </c>
      <c r="I34" s="7" t="inlineStr">
        <is>
          <t>한국조달</t>
        </is>
      </c>
      <c r="J34" s="8" t="inlineStr">
        <is>
          <t>-</t>
        </is>
      </c>
      <c r="K34" s="8" t="inlineStr">
        <is>
          <t>★ 원본 누락. 초유 품질 미측정 = 면역이행 실패 방치</t>
        </is>
      </c>
    </row>
    <row r="35" ht="32" customHeight="1">
      <c r="A35" s="7" t="n">
        <v>31</v>
      </c>
      <c r="B35" s="8" t="inlineStr">
        <is>
          <t>A. 착유우사</t>
        </is>
      </c>
      <c r="C35" s="8" t="inlineStr">
        <is>
          <t>A-4 분만·송아지</t>
        </is>
      </c>
      <c r="D35" s="9" t="inlineStr">
        <is>
          <t>자동 포유기 + 젖병·포유기구 세트</t>
        </is>
      </c>
      <c r="E35" s="8" t="inlineStr">
        <is>
          <t>자동 포유기 1대(개체인식) / 젖병 20개</t>
        </is>
      </c>
      <c r="F35" s="8" t="inlineStr">
        <is>
          <t>-</t>
        </is>
      </c>
      <c r="G35" s="7" t="inlineStr">
        <is>
          <t>식</t>
        </is>
      </c>
      <c r="H35" s="10" t="n">
        <v>1</v>
      </c>
      <c r="I35" s="7" t="inlineStr">
        <is>
          <t>한국조달</t>
        </is>
      </c>
      <c r="J35" s="8" t="inlineStr">
        <is>
          <t>개체인식 연동</t>
        </is>
      </c>
      <c r="K35" s="8" t="inlineStr">
        <is>
          <t>-</t>
        </is>
      </c>
    </row>
    <row r="36" ht="32" customHeight="1">
      <c r="A36" s="7" t="n">
        <v>32</v>
      </c>
      <c r="B36" s="8" t="inlineStr">
        <is>
          <t>A. 착유우사</t>
        </is>
      </c>
      <c r="C36" s="8" t="inlineStr">
        <is>
          <t>A-4 분만·송아지</t>
        </is>
      </c>
      <c r="D36" s="9" t="inlineStr">
        <is>
          <t>송아지 보온등·보온담요</t>
        </is>
      </c>
      <c r="E36" s="8" t="inlineStr">
        <is>
          <t>혹한기 대응</t>
        </is>
      </c>
      <c r="F36" s="8" t="inlineStr">
        <is>
          <t>-</t>
        </is>
      </c>
      <c r="G36" s="7" t="inlineStr">
        <is>
          <t>식</t>
        </is>
      </c>
      <c r="H36" s="10" t="n">
        <v>1</v>
      </c>
      <c r="I36" s="7" t="inlineStr">
        <is>
          <t>한국조달</t>
        </is>
      </c>
      <c r="J36" s="8" t="inlineStr">
        <is>
          <t>-</t>
        </is>
      </c>
      <c r="K36" s="8" t="inlineStr">
        <is>
          <t>중앙아 혹한기(-20℃) 대응</t>
        </is>
      </c>
    </row>
    <row r="37" ht="32" customHeight="1">
      <c r="A37" s="7" t="n">
        <v>33</v>
      </c>
      <c r="B37" s="8" t="inlineStr">
        <is>
          <t>A. 착유우사</t>
        </is>
      </c>
      <c r="C37" s="8" t="inlineStr">
        <is>
          <t>A-4 분만·송아지</t>
        </is>
      </c>
      <c r="D37" s="9" t="inlineStr">
        <is>
          <t>분만 감시 카메라</t>
        </is>
      </c>
      <c r="E37" s="8" t="inlineStr">
        <is>
          <t>분만칸 6칸 / 야간 적외선 / 원격 알람</t>
        </is>
      </c>
      <c r="F37" s="8" t="inlineStr">
        <is>
          <t>-</t>
        </is>
      </c>
      <c r="G37" s="7" t="inlineStr">
        <is>
          <t>식</t>
        </is>
      </c>
      <c r="H37" s="10" t="n">
        <v>1</v>
      </c>
      <c r="I37" s="7" t="inlineStr">
        <is>
          <t>한국조달</t>
        </is>
      </c>
      <c r="J37" s="8" t="inlineStr">
        <is>
          <t>축사 CCTV와 통합 가능</t>
        </is>
      </c>
      <c r="K37" s="8" t="inlineStr">
        <is>
          <t>사고 분만 예방의 핵심</t>
        </is>
      </c>
    </row>
    <row r="38" ht="32" customHeight="1">
      <c r="A38" s="7" t="n">
        <v>34</v>
      </c>
      <c r="B38" s="8" t="inlineStr">
        <is>
          <t>A. 착유우사</t>
        </is>
      </c>
      <c r="C38" s="8" t="inlineStr">
        <is>
          <t>A-4 분만·송아지</t>
        </is>
      </c>
      <c r="D38" s="9" t="inlineStr">
        <is>
          <t>분만 보조기(카프 풀러)·산과 기구</t>
        </is>
      </c>
      <c r="E38" s="8" t="inlineStr">
        <is>
          <t>-</t>
        </is>
      </c>
      <c r="F38" s="8" t="inlineStr">
        <is>
          <t>-</t>
        </is>
      </c>
      <c r="G38" s="7" t="inlineStr">
        <is>
          <t>식</t>
        </is>
      </c>
      <c r="H38" s="10" t="n">
        <v>1</v>
      </c>
      <c r="I38" s="7" t="inlineStr">
        <is>
          <t>한국조달</t>
        </is>
      </c>
      <c r="J38" s="8" t="inlineStr">
        <is>
          <t>-</t>
        </is>
      </c>
      <c r="K38" s="8" t="inlineStr">
        <is>
          <t>-</t>
        </is>
      </c>
    </row>
    <row r="39" ht="32" customHeight="1">
      <c r="A39" s="7" t="n">
        <v>35</v>
      </c>
      <c r="B39" s="8" t="inlineStr">
        <is>
          <t>A. 착유우사</t>
        </is>
      </c>
      <c r="C39" s="8" t="inlineStr">
        <is>
          <t>A-4 분만·송아지</t>
        </is>
      </c>
      <c r="D39" s="9" t="inlineStr">
        <is>
          <t>송아지 전용 체중계</t>
        </is>
      </c>
      <c r="E39" s="8" t="inlineStr">
        <is>
          <t>300kg급</t>
        </is>
      </c>
      <c r="F39" s="8" t="inlineStr">
        <is>
          <t>-</t>
        </is>
      </c>
      <c r="G39" s="7" t="inlineStr">
        <is>
          <t>대</t>
        </is>
      </c>
      <c r="H39" s="10" t="n">
        <v>1</v>
      </c>
      <c r="I39" s="7" t="inlineStr">
        <is>
          <t>한국조달</t>
        </is>
      </c>
      <c r="J39" s="8" t="inlineStr">
        <is>
          <t>일당증체 관리</t>
        </is>
      </c>
      <c r="K39" s="8" t="inlineStr">
        <is>
          <t>-</t>
        </is>
      </c>
    </row>
    <row r="40" ht="32" customHeight="1">
      <c r="A40" s="7" t="n">
        <v>36</v>
      </c>
      <c r="B40" s="8" t="inlineStr">
        <is>
          <t>A. 착유우사</t>
        </is>
      </c>
      <c r="C40" s="8" t="inlineStr">
        <is>
          <t>A-5 사양·방역</t>
        </is>
      </c>
      <c r="D40" s="9" t="inlineStr">
        <is>
          <t>전자 개체 체중계(이동식 케이지형)</t>
        </is>
      </c>
      <c r="E40" s="8" t="inlineStr">
        <is>
          <t>2,000kg / 디지털 표시</t>
        </is>
      </c>
      <c r="F40" s="8" t="inlineStr">
        <is>
          <t>-</t>
        </is>
      </c>
      <c r="G40" s="7" t="inlineStr">
        <is>
          <t>대</t>
        </is>
      </c>
      <c r="H40" s="10" t="n">
        <v>1</v>
      </c>
      <c r="I40" s="7" t="inlineStr">
        <is>
          <t>한국조달</t>
        </is>
      </c>
      <c r="J40" s="8" t="inlineStr">
        <is>
          <t>-</t>
        </is>
      </c>
      <c r="K40" s="8" t="inlineStr">
        <is>
          <t>★ 원본 누락</t>
        </is>
      </c>
    </row>
    <row r="41" ht="32" customHeight="1">
      <c r="A41" s="7" t="n">
        <v>37</v>
      </c>
      <c r="B41" s="8" t="inlineStr">
        <is>
          <t>A. 착유우사</t>
        </is>
      </c>
      <c r="C41" s="8" t="inlineStr">
        <is>
          <t>A-5 사양·방역</t>
        </is>
      </c>
      <c r="D41" s="9" t="inlineStr">
        <is>
          <t>귀표기(태그 어플리케이터) + 귀표</t>
        </is>
      </c>
      <c r="E41" s="8" t="inlineStr">
        <is>
          <t>어플리케이터 3개 + 귀표 500매(번호 인쇄)</t>
        </is>
      </c>
      <c r="F41" s="8" t="inlineStr">
        <is>
          <t>-</t>
        </is>
      </c>
      <c r="G41" s="7" t="inlineStr">
        <is>
          <t>식</t>
        </is>
      </c>
      <c r="H41" s="10" t="n">
        <v>1</v>
      </c>
      <c r="I41" s="7" t="inlineStr">
        <is>
          <t>한국조달</t>
        </is>
      </c>
      <c r="J41" s="8" t="inlineStr">
        <is>
          <t>개체번호 체계 통일</t>
        </is>
      </c>
      <c r="K41" s="8" t="inlineStr">
        <is>
          <t>★ 원본 누락. 개체 식별 없이는 모든 기록이 무의미</t>
        </is>
      </c>
    </row>
    <row r="42" ht="32" customHeight="1">
      <c r="A42" s="7" t="n">
        <v>38</v>
      </c>
      <c r="B42" s="8" t="inlineStr">
        <is>
          <t>A. 착유우사</t>
        </is>
      </c>
      <c r="C42" s="8" t="inlineStr">
        <is>
          <t>A-5 사양·방역</t>
        </is>
      </c>
      <c r="D42" s="9" t="inlineStr">
        <is>
          <t>제각기(전기식·가스식)</t>
        </is>
      </c>
      <c r="E42" s="8" t="inlineStr">
        <is>
          <t>송아지 제각용</t>
        </is>
      </c>
      <c r="F42" s="8" t="inlineStr">
        <is>
          <t>-</t>
        </is>
      </c>
      <c r="G42" s="7" t="inlineStr">
        <is>
          <t>대</t>
        </is>
      </c>
      <c r="H42" s="10" t="n">
        <v>2</v>
      </c>
      <c r="I42" s="7" t="inlineStr">
        <is>
          <t>한국조달</t>
        </is>
      </c>
      <c r="J42" s="8" t="inlineStr">
        <is>
          <t>-</t>
        </is>
      </c>
      <c r="K42" s="8" t="inlineStr">
        <is>
          <t>★ 원본 누락</t>
        </is>
      </c>
    </row>
    <row r="43" ht="32" customHeight="1">
      <c r="A43" s="7" t="n">
        <v>39</v>
      </c>
      <c r="B43" s="8" t="inlineStr">
        <is>
          <t>A. 착유우사</t>
        </is>
      </c>
      <c r="C43" s="8" t="inlineStr">
        <is>
          <t>A-5 사양·방역</t>
        </is>
      </c>
      <c r="D43" s="9" t="inlineStr">
        <is>
          <t>발굽 삭제기·발굽칼·그라인더</t>
        </is>
      </c>
      <c r="E43" s="8" t="inlineStr">
        <is>
          <t>전동 그라인더 + 수동 나이프 세트</t>
        </is>
      </c>
      <c r="F43" s="8" t="inlineStr">
        <is>
          <t>-</t>
        </is>
      </c>
      <c r="G43" s="7" t="inlineStr">
        <is>
          <t>식</t>
        </is>
      </c>
      <c r="H43" s="10" t="n">
        <v>1</v>
      </c>
      <c r="I43" s="7" t="inlineStr">
        <is>
          <t>한국조달</t>
        </is>
      </c>
      <c r="J43" s="8" t="inlineStr">
        <is>
          <t>발굽 보정틀과 함께 운용</t>
        </is>
      </c>
      <c r="K43" s="8" t="inlineStr">
        <is>
          <t>★ 원본 누락</t>
        </is>
      </c>
    </row>
    <row r="44" ht="32" customHeight="1">
      <c r="A44" s="7" t="n">
        <v>40</v>
      </c>
      <c r="B44" s="8" t="inlineStr">
        <is>
          <t>A. 착유우사</t>
        </is>
      </c>
      <c r="C44" s="8" t="inlineStr">
        <is>
          <t>A-5 사양·방역</t>
        </is>
      </c>
      <c r="D44" s="9" t="inlineStr">
        <is>
          <t>발굽 소독조(풋배스) 자재 + 약품</t>
        </is>
      </c>
      <c r="E44" s="8" t="inlineStr">
        <is>
          <t>통과형 / 약액 1년 소요량</t>
        </is>
      </c>
      <c r="F44" s="8" t="inlineStr">
        <is>
          <t>-</t>
        </is>
      </c>
      <c r="G44" s="7" t="inlineStr">
        <is>
          <t>식</t>
        </is>
      </c>
      <c r="H44" s="10" t="n">
        <v>1</v>
      </c>
      <c r="I44" s="7" t="inlineStr">
        <is>
          <t>한국+현지</t>
        </is>
      </c>
      <c r="J44" s="8" t="inlineStr">
        <is>
          <t>착유 동선상 배치</t>
        </is>
      </c>
      <c r="K44" s="8" t="inlineStr">
        <is>
          <t>-</t>
        </is>
      </c>
    </row>
    <row r="45" ht="32" customHeight="1">
      <c r="A45" s="7" t="n">
        <v>41</v>
      </c>
      <c r="B45" s="8" t="inlineStr">
        <is>
          <t>A. 착유우사</t>
        </is>
      </c>
      <c r="C45" s="8" t="inlineStr">
        <is>
          <t>A-5 사양·방역</t>
        </is>
      </c>
      <c r="D45" s="9" t="inlineStr">
        <is>
          <t>체척 측정 도구(체중테이프·측장기)</t>
        </is>
      </c>
      <c r="E45" s="8" t="inlineStr">
        <is>
          <t>-</t>
        </is>
      </c>
      <c r="F45" s="8" t="inlineStr">
        <is>
          <t>-</t>
        </is>
      </c>
      <c r="G45" s="7" t="inlineStr">
        <is>
          <t>식</t>
        </is>
      </c>
      <c r="H45" s="10" t="n">
        <v>1</v>
      </c>
      <c r="I45" s="7" t="inlineStr">
        <is>
          <t>한국조달</t>
        </is>
      </c>
      <c r="J45" s="8" t="inlineStr">
        <is>
          <t>-</t>
        </is>
      </c>
      <c r="K45" s="8" t="inlineStr">
        <is>
          <t>육성우 발육 관리</t>
        </is>
      </c>
    </row>
    <row r="46" ht="32" customHeight="1">
      <c r="A46" s="7" t="n">
        <v>42</v>
      </c>
      <c r="B46" s="8" t="inlineStr">
        <is>
          <t>A. 착유우사</t>
        </is>
      </c>
      <c r="C46" s="8" t="inlineStr">
        <is>
          <t>A-5 사양·방역</t>
        </is>
      </c>
      <c r="D46" s="9" t="inlineStr">
        <is>
          <t>차량 소독기(출입구 자동 분무)</t>
        </is>
      </c>
      <c r="E46" s="8" t="inlineStr">
        <is>
          <t>차량 통과형 / 자동 감지</t>
        </is>
      </c>
      <c r="F46" s="8" t="inlineStr">
        <is>
          <t>-</t>
        </is>
      </c>
      <c r="G46" s="7" t="inlineStr">
        <is>
          <t>대</t>
        </is>
      </c>
      <c r="H46" s="10" t="n">
        <v>1</v>
      </c>
      <c r="I46" s="7" t="inlineStr">
        <is>
          <t>한국조달</t>
        </is>
      </c>
      <c r="J46" s="8" t="inlineStr">
        <is>
          <t>단지 주출입구 설치</t>
        </is>
      </c>
      <c r="K46" s="8" t="inlineStr">
        <is>
          <t>★ 원본 '기타 시설' 구체화 / 우즈벡 FMD·LSD 방역 대응</t>
        </is>
      </c>
    </row>
    <row r="47" ht="32" customHeight="1">
      <c r="A47" s="7" t="n">
        <v>43</v>
      </c>
      <c r="B47" s="8" t="inlineStr">
        <is>
          <t>A. 착유우사</t>
        </is>
      </c>
      <c r="C47" s="8" t="inlineStr">
        <is>
          <t>A-5 사양·방역</t>
        </is>
      </c>
      <c r="D47" s="9" t="inlineStr">
        <is>
          <t>축사 출입구 소독 발판조</t>
        </is>
      </c>
      <c r="E47" s="8" t="inlineStr">
        <is>
          <t>스테인리스 / 약액 순환</t>
        </is>
      </c>
      <c r="F47" s="8" t="inlineStr">
        <is>
          <t>-</t>
        </is>
      </c>
      <c r="G47" s="7" t="inlineStr">
        <is>
          <t>개</t>
        </is>
      </c>
      <c r="H47" s="10" t="n">
        <v>6</v>
      </c>
      <c r="I47" s="7" t="inlineStr">
        <is>
          <t>한국조달</t>
        </is>
      </c>
      <c r="J47" s="8" t="inlineStr">
        <is>
          <t>-</t>
        </is>
      </c>
      <c r="K47" s="8" t="inlineStr">
        <is>
          <t>-</t>
        </is>
      </c>
    </row>
    <row r="48" ht="32" customHeight="1">
      <c r="A48" s="7" t="n">
        <v>44</v>
      </c>
      <c r="B48" s="8" t="inlineStr">
        <is>
          <t>A. 착유우사</t>
        </is>
      </c>
      <c r="C48" s="8" t="inlineStr">
        <is>
          <t>A-5 사양·방역</t>
        </is>
      </c>
      <c r="D48" s="9" t="inlineStr">
        <is>
          <t>고압 세척기(온수형)</t>
        </is>
      </c>
      <c r="E48" s="8" t="inlineStr">
        <is>
          <t>-</t>
        </is>
      </c>
      <c r="F48" s="8" t="inlineStr">
        <is>
          <t>-</t>
        </is>
      </c>
      <c r="G48" s="7" t="inlineStr">
        <is>
          <t>대</t>
        </is>
      </c>
      <c r="H48" s="10" t="n">
        <v>2</v>
      </c>
      <c r="I48" s="7" t="inlineStr">
        <is>
          <t>한국조달</t>
        </is>
      </c>
      <c r="J48" s="8" t="inlineStr">
        <is>
          <t>-</t>
        </is>
      </c>
      <c r="K48" s="8" t="inlineStr">
        <is>
          <t>-</t>
        </is>
      </c>
    </row>
    <row r="49" ht="32" customHeight="1">
      <c r="A49" s="7" t="n">
        <v>45</v>
      </c>
      <c r="B49" s="8" t="inlineStr">
        <is>
          <t>A. 착유우사</t>
        </is>
      </c>
      <c r="C49" s="8" t="inlineStr">
        <is>
          <t>A-5 사양·방역</t>
        </is>
      </c>
      <c r="D49" s="9" t="inlineStr">
        <is>
          <t>연무·분무 소독기(휴대형·차량형)</t>
        </is>
      </c>
      <c r="E49" s="8" t="inlineStr">
        <is>
          <t>-</t>
        </is>
      </c>
      <c r="F49" s="8" t="inlineStr">
        <is>
          <t>-</t>
        </is>
      </c>
      <c r="G49" s="7" t="inlineStr">
        <is>
          <t>식</t>
        </is>
      </c>
      <c r="H49" s="10" t="n">
        <v>1</v>
      </c>
      <c r="I49" s="7" t="inlineStr">
        <is>
          <t>한국조달</t>
        </is>
      </c>
      <c r="J49" s="8" t="inlineStr">
        <is>
          <t>-</t>
        </is>
      </c>
      <c r="K49" s="8" t="inlineStr">
        <is>
          <t>-</t>
        </is>
      </c>
    </row>
    <row r="50" ht="32" customHeight="1">
      <c r="A50" s="7" t="n">
        <v>46</v>
      </c>
      <c r="B50" s="8" t="inlineStr">
        <is>
          <t>A. 착유우사</t>
        </is>
      </c>
      <c r="C50" s="8" t="inlineStr">
        <is>
          <t>A-5 사양·방역</t>
        </is>
      </c>
      <c r="D50" s="9" t="inlineStr">
        <is>
          <t>방역복·장화·소독매트</t>
        </is>
      </c>
      <c r="E50" s="8" t="inlineStr">
        <is>
          <t>-</t>
        </is>
      </c>
      <c r="F50" s="8" t="inlineStr">
        <is>
          <t>-</t>
        </is>
      </c>
      <c r="G50" s="7" t="inlineStr">
        <is>
          <t>식</t>
        </is>
      </c>
      <c r="H50" s="10" t="n">
        <v>1</v>
      </c>
      <c r="I50" s="7" t="inlineStr">
        <is>
          <t>한국+현지</t>
        </is>
      </c>
      <c r="J50" s="8" t="inlineStr">
        <is>
          <t>-</t>
        </is>
      </c>
      <c r="K50" s="8" t="inlineStr">
        <is>
          <t>-</t>
        </is>
      </c>
    </row>
    <row r="51" ht="32" customHeight="1">
      <c r="A51" s="7" t="n">
        <v>47</v>
      </c>
      <c r="B51" s="8" t="inlineStr">
        <is>
          <t>A. 착유우사</t>
        </is>
      </c>
      <c r="C51" s="8" t="inlineStr">
        <is>
          <t>A-5 사양·방역</t>
        </is>
      </c>
      <c r="D51" s="9" t="inlineStr">
        <is>
          <t>축사 소독약품</t>
        </is>
      </c>
      <c r="E51" s="8" t="inlineStr">
        <is>
          <t>1년 소요량 / 현지 조달처 확보</t>
        </is>
      </c>
      <c r="F51" s="8" t="inlineStr">
        <is>
          <t>-</t>
        </is>
      </c>
      <c r="G51" s="7" t="inlineStr">
        <is>
          <t>식</t>
        </is>
      </c>
      <c r="H51" s="10" t="n">
        <v>1</v>
      </c>
      <c r="I51" s="7" t="inlineStr">
        <is>
          <t>한국+현지</t>
        </is>
      </c>
      <c r="J51" s="8" t="inlineStr">
        <is>
          <t>-</t>
        </is>
      </c>
      <c r="K51" s="12" t="inlineStr">
        <is>
          <t>▲ 현지 반복조달 가능한 규격으로 선정</t>
        </is>
      </c>
    </row>
    <row r="52" ht="32" customHeight="1">
      <c r="A52" s="7" t="n">
        <v>48</v>
      </c>
      <c r="B52" s="8" t="inlineStr">
        <is>
          <t>A. 착유우사</t>
        </is>
      </c>
      <c r="C52" s="8" t="inlineStr">
        <is>
          <t>A-5 사양·방역</t>
        </is>
      </c>
      <c r="D52" s="9" t="inlineStr">
        <is>
          <t>쥐·해충 방제 설비(트랩·방충등)</t>
        </is>
      </c>
      <c r="E52" s="8" t="inlineStr">
        <is>
          <t>-</t>
        </is>
      </c>
      <c r="F52" s="8" t="inlineStr">
        <is>
          <t>-</t>
        </is>
      </c>
      <c r="G52" s="7" t="inlineStr">
        <is>
          <t>식</t>
        </is>
      </c>
      <c r="H52" s="10" t="n">
        <v>1</v>
      </c>
      <c r="I52" s="7" t="inlineStr">
        <is>
          <t>한국+현지</t>
        </is>
      </c>
      <c r="J52" s="8" t="inlineStr">
        <is>
          <t>-</t>
        </is>
      </c>
      <c r="K52" s="8" t="inlineStr">
        <is>
          <t>-</t>
        </is>
      </c>
    </row>
    <row r="53" ht="32" customHeight="1">
      <c r="A53" s="7" t="n">
        <v>49</v>
      </c>
      <c r="B53" s="8" t="inlineStr">
        <is>
          <t>A. 착유우사</t>
        </is>
      </c>
      <c r="C53" s="8" t="inlineStr">
        <is>
          <t>A-5 사양·방역</t>
        </is>
      </c>
      <c r="D53" s="9" t="inlineStr">
        <is>
          <t>약품 보관 냉장고(백신용)</t>
        </is>
      </c>
      <c r="E53" s="8" t="inlineStr">
        <is>
          <t>온도 기록·알람</t>
        </is>
      </c>
      <c r="F53" s="8" t="inlineStr">
        <is>
          <t>-</t>
        </is>
      </c>
      <c r="G53" s="7" t="inlineStr">
        <is>
          <t>대</t>
        </is>
      </c>
      <c r="H53" s="10" t="n">
        <v>1</v>
      </c>
      <c r="I53" s="7" t="inlineStr">
        <is>
          <t>한국조달</t>
        </is>
      </c>
      <c r="J53" s="8" t="inlineStr">
        <is>
          <t>비상발전 연동</t>
        </is>
      </c>
      <c r="K53" s="8" t="inlineStr">
        <is>
          <t>백신 콜드체인 — 방역의 전제</t>
        </is>
      </c>
    </row>
    <row r="54" ht="32" customHeight="1">
      <c r="A54" s="7" t="n">
        <v>50</v>
      </c>
      <c r="B54" s="8" t="inlineStr">
        <is>
          <t>A. 착유우사</t>
        </is>
      </c>
      <c r="C54" s="8" t="inlineStr">
        <is>
          <t>A-5 사양·방역</t>
        </is>
      </c>
      <c r="D54" s="9" t="inlineStr">
        <is>
          <t>진료 키트(주사기·수액세트·체온계·개창기)</t>
        </is>
      </c>
      <c r="E54" s="8" t="inlineStr">
        <is>
          <t>-</t>
        </is>
      </c>
      <c r="F54" s="8" t="inlineStr">
        <is>
          <t>-</t>
        </is>
      </c>
      <c r="G54" s="7" t="inlineStr">
        <is>
          <t>식</t>
        </is>
      </c>
      <c r="H54" s="10" t="n">
        <v>1</v>
      </c>
      <c r="I54" s="7" t="inlineStr">
        <is>
          <t>한국조달</t>
        </is>
      </c>
      <c r="J54" s="8" t="inlineStr">
        <is>
          <t>-</t>
        </is>
      </c>
      <c r="K54" s="8" t="inlineStr">
        <is>
          <t>-</t>
        </is>
      </c>
    </row>
    <row r="55" ht="32" customHeight="1">
      <c r="A55" s="7" t="n">
        <v>51</v>
      </c>
      <c r="B55" s="8" t="inlineStr">
        <is>
          <t>A. 착유우사</t>
        </is>
      </c>
      <c r="C55" s="8" t="inlineStr">
        <is>
          <t>A-5 사양·방역</t>
        </is>
      </c>
      <c r="D55" s="9" t="inlineStr">
        <is>
          <t>의료폐기물 용기 / 사체 보관 냉동고</t>
        </is>
      </c>
      <c r="E55" s="8" t="inlineStr">
        <is>
          <t>-</t>
        </is>
      </c>
      <c r="F55" s="8" t="inlineStr">
        <is>
          <t>-</t>
        </is>
      </c>
      <c r="G55" s="7" t="inlineStr">
        <is>
          <t>식</t>
        </is>
      </c>
      <c r="H55" s="10" t="n">
        <v>1</v>
      </c>
      <c r="I55" s="7" t="inlineStr">
        <is>
          <t>한국+현지</t>
        </is>
      </c>
      <c r="J55" s="8" t="inlineStr">
        <is>
          <t>현지 사체처리 방식 확인</t>
        </is>
      </c>
      <c r="K55" s="8" t="inlineStr">
        <is>
          <t>-</t>
        </is>
      </c>
    </row>
    <row r="56" ht="32" customHeight="1">
      <c r="A56" s="7" t="n">
        <v>52</v>
      </c>
      <c r="B56" s="8" t="inlineStr">
        <is>
          <t>A. 착유우사</t>
        </is>
      </c>
      <c r="C56" s="8" t="inlineStr">
        <is>
          <t>A-5 사양·방역</t>
        </is>
      </c>
      <c r="D56" s="9" t="inlineStr">
        <is>
          <t>우군 관리 기록보드·상황판</t>
        </is>
      </c>
      <c r="E56" s="8" t="inlineStr">
        <is>
          <t>-</t>
        </is>
      </c>
      <c r="F56" s="8" t="inlineStr">
        <is>
          <t>-</t>
        </is>
      </c>
      <c r="G56" s="7" t="inlineStr">
        <is>
          <t>식</t>
        </is>
      </c>
      <c r="H56" s="10" t="n">
        <v>1</v>
      </c>
      <c r="I56" s="7" t="inlineStr">
        <is>
          <t>한국+현지</t>
        </is>
      </c>
      <c r="J56" s="8" t="inlineStr">
        <is>
          <t>-</t>
        </is>
      </c>
      <c r="K56" s="8" t="inlineStr">
        <is>
          <t>-</t>
        </is>
      </c>
    </row>
    <row r="57" ht="32" customHeight="1">
      <c r="A57" s="7" t="n">
        <v>53</v>
      </c>
      <c r="B57" s="8" t="inlineStr">
        <is>
          <t>A. 착유우사</t>
        </is>
      </c>
      <c r="C57" s="8" t="inlineStr">
        <is>
          <t>A-6 부대 유틸리티</t>
        </is>
      </c>
      <c r="D57" s="9" t="inlineStr">
        <is>
          <t>전기 인입·수변전 설비</t>
        </is>
      </c>
      <c r="E57" s="8" t="inlineStr">
        <is>
          <t>500kVA / 고압인입 / 변압기 / 배전반</t>
        </is>
      </c>
      <c r="F57" s="8" t="inlineStr">
        <is>
          <t>-</t>
        </is>
      </c>
      <c r="G57" s="7" t="inlineStr">
        <is>
          <t>식</t>
        </is>
      </c>
      <c r="H57" s="10" t="n">
        <v>1</v>
      </c>
      <c r="I57" s="7" t="inlineStr">
        <is>
          <t>현지조달</t>
        </is>
      </c>
      <c r="J57" s="8" t="inlineStr">
        <is>
          <t>현지 전력청 수전 협의 선행</t>
        </is>
      </c>
      <c r="K57" s="8" t="inlineStr">
        <is>
          <t>부지 인근 수전 용량 실사 필요</t>
        </is>
      </c>
    </row>
    <row r="58" ht="32" customHeight="1">
      <c r="A58" s="7" t="n">
        <v>54</v>
      </c>
      <c r="B58" s="8" t="inlineStr">
        <is>
          <t>A. 착유우사</t>
        </is>
      </c>
      <c r="C58" s="8" t="inlineStr">
        <is>
          <t>A-6 부대 유틸리티</t>
        </is>
      </c>
      <c r="D58" s="9" t="inlineStr">
        <is>
          <t>비상발전기 + 자동절환(ATS)</t>
        </is>
      </c>
      <c r="E58" s="8" t="inlineStr">
        <is>
          <t>150kW / 디젤 / 자동기동</t>
        </is>
      </c>
      <c r="F58" s="8" t="inlineStr">
        <is>
          <t>-</t>
        </is>
      </c>
      <c r="G58" s="7" t="inlineStr">
        <is>
          <t>식</t>
        </is>
      </c>
      <c r="H58" s="10" t="n">
        <v>1</v>
      </c>
      <c r="I58" s="7" t="inlineStr">
        <is>
          <t>한국+현지</t>
        </is>
      </c>
      <c r="J58" s="8" t="inlineStr">
        <is>
          <t>원유냉각탱크·유가공 냉장창고·백신냉장고 우선 회로</t>
        </is>
      </c>
      <c r="K58" s="8" t="inlineStr">
        <is>
          <t>★ 정전 1회로 원유·백신 전량 손실 — 필수</t>
        </is>
      </c>
    </row>
    <row r="59" ht="32" customHeight="1">
      <c r="A59" s="7" t="n">
        <v>55</v>
      </c>
      <c r="B59" s="8" t="inlineStr">
        <is>
          <t>A. 착유우사</t>
        </is>
      </c>
      <c r="C59" s="8" t="inlineStr">
        <is>
          <t>A-6 부대 유틸리티</t>
        </is>
      </c>
      <c r="D59" s="9" t="inlineStr">
        <is>
          <t>지하수 관정·급수 펌프·급수탑</t>
        </is>
      </c>
      <c r="E59" s="8" t="inlineStr">
        <is>
          <t>관정 2공(200m) / 급수탑 100톤</t>
        </is>
      </c>
      <c r="F59" s="8" t="inlineStr">
        <is>
          <t>-</t>
        </is>
      </c>
      <c r="G59" s="7" t="inlineStr">
        <is>
          <t>식</t>
        </is>
      </c>
      <c r="H59" s="10" t="n">
        <v>1</v>
      </c>
      <c r="I59" s="7" t="inlineStr">
        <is>
          <t>현지조달</t>
        </is>
      </c>
      <c r="J59" s="8" t="inlineStr">
        <is>
          <t>수질·수량 실사 선행</t>
        </is>
      </c>
      <c r="K59" s="8" t="inlineStr">
        <is>
          <t>유가공 용수 수질 확보가 관건</t>
        </is>
      </c>
    </row>
    <row r="60" ht="32" customHeight="1">
      <c r="A60" s="7" t="n">
        <v>56</v>
      </c>
      <c r="B60" s="8" t="inlineStr">
        <is>
          <t>A. 착유우사</t>
        </is>
      </c>
      <c r="C60" s="8" t="inlineStr">
        <is>
          <t>A-6 부대 유틸리티</t>
        </is>
      </c>
      <c r="D60" s="9" t="inlineStr">
        <is>
          <t>정수·소독 설비(음용·세척용)</t>
        </is>
      </c>
      <c r="E60" s="8" t="inlineStr">
        <is>
          <t>여과·염소 소독</t>
        </is>
      </c>
      <c r="F60" s="8" t="inlineStr">
        <is>
          <t>-</t>
        </is>
      </c>
      <c r="G60" s="7" t="inlineStr">
        <is>
          <t>식</t>
        </is>
      </c>
      <c r="H60" s="10" t="n">
        <v>1</v>
      </c>
      <c r="I60" s="7" t="inlineStr">
        <is>
          <t>한국+현지</t>
        </is>
      </c>
      <c r="J60" s="8" t="inlineStr">
        <is>
          <t>-</t>
        </is>
      </c>
      <c r="K60" s="8" t="inlineStr">
        <is>
          <t>-</t>
        </is>
      </c>
    </row>
    <row r="61" ht="32" customHeight="1">
      <c r="A61" s="7" t="n">
        <v>57</v>
      </c>
      <c r="B61" s="8" t="inlineStr">
        <is>
          <t>A. 착유우사</t>
        </is>
      </c>
      <c r="C61" s="8" t="inlineStr">
        <is>
          <t>A-6 부대 유틸리티</t>
        </is>
      </c>
      <c r="D61" s="9" t="inlineStr">
        <is>
          <t>소방설비(소화전·소화기·화재경보)</t>
        </is>
      </c>
      <c r="E61" s="8" t="inlineStr">
        <is>
          <t>현지 소방기준 적용</t>
        </is>
      </c>
      <c r="F61" s="8" t="inlineStr">
        <is>
          <t>-</t>
        </is>
      </c>
      <c r="G61" s="7" t="inlineStr">
        <is>
          <t>식</t>
        </is>
      </c>
      <c r="H61" s="10" t="n">
        <v>1</v>
      </c>
      <c r="I61" s="7" t="inlineStr">
        <is>
          <t>현지조달</t>
        </is>
      </c>
      <c r="J61" s="8" t="inlineStr">
        <is>
          <t>-</t>
        </is>
      </c>
      <c r="K61" s="8" t="inlineStr">
        <is>
          <t>-</t>
        </is>
      </c>
    </row>
    <row r="62" ht="32" customHeight="1">
      <c r="A62" s="7" t="n">
        <v>58</v>
      </c>
      <c r="B62" s="8" t="inlineStr">
        <is>
          <t>A. 착유우사</t>
        </is>
      </c>
      <c r="C62" s="8" t="inlineStr">
        <is>
          <t>A-6 부대 유틸리티</t>
        </is>
      </c>
      <c r="D62" s="9" t="inlineStr">
        <is>
          <t>축사 유지보수 공구·예비자재</t>
        </is>
      </c>
      <c r="E62" s="8" t="inlineStr">
        <is>
          <t>전기·설비 공구 세트 / 소모 자재 2년분</t>
        </is>
      </c>
      <c r="F62" s="8" t="inlineStr">
        <is>
          <t>-</t>
        </is>
      </c>
      <c r="G62" s="7" t="inlineStr">
        <is>
          <t>식</t>
        </is>
      </c>
      <c r="H62" s="10" t="n">
        <v>1</v>
      </c>
      <c r="I62" s="7" t="inlineStr">
        <is>
          <t>한국조달</t>
        </is>
      </c>
      <c r="J62" s="8" t="inlineStr">
        <is>
          <t>-</t>
        </is>
      </c>
      <c r="K62" s="8" t="inlineStr">
        <is>
          <t>현지 부품 조달 곤란 — 예비재고가 가동률을 결정</t>
        </is>
      </c>
    </row>
    <row r="63" ht="32" customHeight="1">
      <c r="A63" s="13" t="n">
        <v>59</v>
      </c>
      <c r="B63" s="14" t="inlineStr">
        <is>
          <t>B. 착유시스템(팔러)</t>
        </is>
      </c>
      <c r="C63" s="14" t="inlineStr">
        <is>
          <t>B-1 착유설비</t>
        </is>
      </c>
      <c r="D63" s="15" t="inlineStr">
        <is>
          <t>팔러착유기 헤링본 2×8 (16유닛)</t>
        </is>
      </c>
      <c r="E63" s="14" t="inlineStr">
        <is>
          <t>자동탈착(ACR) / 전자유량계 / 개체인식 / 자동세척 / 착유시간 약 1.5h·회, 1일 2회</t>
        </is>
      </c>
      <c r="F63" s="14" t="inlineStr">
        <is>
          <t>GEA / DeLaval / BouMatic 급</t>
        </is>
      </c>
      <c r="G63" s="13" t="inlineStr">
        <is>
          <t>식</t>
        </is>
      </c>
      <c r="H63" s="16" t="n">
        <v>1</v>
      </c>
      <c r="I63" s="13" t="inlineStr">
        <is>
          <t>한국조달</t>
        </is>
      </c>
      <c r="J63" s="14" t="inlineStr">
        <is>
          <t>팔러동 바닥·배수·전기 사양 선행</t>
        </is>
      </c>
      <c r="K63" s="17" t="inlineStr">
        <is>
          <t>★★ 회장님 지시항목. 착유우 100두 기준 2×8 최적 (200두 확장 시 2×12 증설)</t>
        </is>
      </c>
    </row>
    <row r="64" ht="32" customHeight="1">
      <c r="A64" s="13" t="n">
        <v>60</v>
      </c>
      <c r="B64" s="14" t="inlineStr">
        <is>
          <t>B. 착유시스템(팔러)</t>
        </is>
      </c>
      <c r="C64" s="14" t="inlineStr">
        <is>
          <t>B-1 착유설비</t>
        </is>
      </c>
      <c r="D64" s="15" t="inlineStr">
        <is>
          <t>진공펌프(인버터 제어) + 진공배관·조절기</t>
        </is>
      </c>
      <c r="E64" s="14" t="inlineStr">
        <is>
          <t>2,200 L/min 급 / 주파수 제어형</t>
        </is>
      </c>
      <c r="F64" s="14" t="inlineStr">
        <is>
          <t>-</t>
        </is>
      </c>
      <c r="G64" s="13" t="inlineStr">
        <is>
          <t>식</t>
        </is>
      </c>
      <c r="H64" s="16" t="n">
        <v>1</v>
      </c>
      <c r="I64" s="13" t="inlineStr">
        <is>
          <t>한국조달</t>
        </is>
      </c>
      <c r="J64" s="14" t="inlineStr">
        <is>
          <t>진공레벨 정기 점검 체계 포함</t>
        </is>
      </c>
      <c r="K64" s="14" t="inlineStr">
        <is>
          <t>에너지 절감형</t>
        </is>
      </c>
    </row>
    <row r="65" ht="32" customHeight="1">
      <c r="A65" s="13" t="n">
        <v>61</v>
      </c>
      <c r="B65" s="14" t="inlineStr">
        <is>
          <t>B. 착유시스템(팔러)</t>
        </is>
      </c>
      <c r="C65" s="14" t="inlineStr">
        <is>
          <t>B-1 착유설비</t>
        </is>
      </c>
      <c r="D65" s="15" t="inlineStr">
        <is>
          <t>밀크라인·리시버·밀크펌프</t>
        </is>
      </c>
      <c r="E65" s="14" t="inlineStr">
        <is>
          <t>스테인리스 위생배관 / 자동세척 대응</t>
        </is>
      </c>
      <c r="F65" s="14" t="inlineStr">
        <is>
          <t>-</t>
        </is>
      </c>
      <c r="G65" s="13" t="inlineStr">
        <is>
          <t>식</t>
        </is>
      </c>
      <c r="H65" s="16" t="n">
        <v>1</v>
      </c>
      <c r="I65" s="13" t="inlineStr">
        <is>
          <t>한국조달</t>
        </is>
      </c>
      <c r="J65" s="14" t="inlineStr">
        <is>
          <t>-</t>
        </is>
      </c>
      <c r="K65" s="14" t="inlineStr">
        <is>
          <t>-</t>
        </is>
      </c>
    </row>
    <row r="66" ht="32" customHeight="1">
      <c r="A66" s="13" t="n">
        <v>62</v>
      </c>
      <c r="B66" s="14" t="inlineStr">
        <is>
          <t>B. 착유시스템(팔러)</t>
        </is>
      </c>
      <c r="C66" s="14" t="inlineStr">
        <is>
          <t>B-1 착유설비</t>
        </is>
      </c>
      <c r="D66" s="15" t="inlineStr">
        <is>
          <t>착유 클러스터·라이너·긴 우유호스</t>
        </is>
      </c>
      <c r="E66" s="14" t="inlineStr">
        <is>
          <t>16유닛분 + 예비 1세트</t>
        </is>
      </c>
      <c r="F66" s="14" t="inlineStr">
        <is>
          <t>-</t>
        </is>
      </c>
      <c r="G66" s="13" t="inlineStr">
        <is>
          <t>세트</t>
        </is>
      </c>
      <c r="H66" s="16" t="n">
        <v>2</v>
      </c>
      <c r="I66" s="13" t="inlineStr">
        <is>
          <t>한국조달</t>
        </is>
      </c>
      <c r="J66" s="14" t="inlineStr">
        <is>
          <t>-</t>
        </is>
      </c>
      <c r="K66" s="14" t="inlineStr">
        <is>
          <t>-</t>
        </is>
      </c>
    </row>
    <row r="67" ht="32" customHeight="1">
      <c r="A67" s="13" t="n">
        <v>63</v>
      </c>
      <c r="B67" s="14" t="inlineStr">
        <is>
          <t>B. 착유시스템(팔러)</t>
        </is>
      </c>
      <c r="C67" s="14" t="inlineStr">
        <is>
          <t>B-1 착유설비</t>
        </is>
      </c>
      <c r="D67" s="15" t="inlineStr">
        <is>
          <t>개체별 전자유량계</t>
        </is>
      </c>
      <c r="E67" s="14" t="inlineStr">
        <is>
          <t>16유닛 / ICAR 대응</t>
        </is>
      </c>
      <c r="F67" s="14" t="inlineStr">
        <is>
          <t>-</t>
        </is>
      </c>
      <c r="G67" s="13" t="inlineStr">
        <is>
          <t>식</t>
        </is>
      </c>
      <c r="H67" s="16" t="n">
        <v>1</v>
      </c>
      <c r="I67" s="13" t="inlineStr">
        <is>
          <t>한국조달</t>
        </is>
      </c>
      <c r="J67" s="14" t="inlineStr">
        <is>
          <t>개체 산유량 기록</t>
        </is>
      </c>
      <c r="K67" s="14" t="inlineStr">
        <is>
          <t>개체 성적관리의 기초 데이터</t>
        </is>
      </c>
    </row>
    <row r="68" ht="32" customHeight="1">
      <c r="A68" s="13" t="n">
        <v>64</v>
      </c>
      <c r="B68" s="14" t="inlineStr">
        <is>
          <t>B. 착유시스템(팔러)</t>
        </is>
      </c>
      <c r="C68" s="14" t="inlineStr">
        <is>
          <t>B-2 개체·동선</t>
        </is>
      </c>
      <c r="D68" s="15" t="inlineStr">
        <is>
          <t>자동 개체인식 리더·태그</t>
        </is>
      </c>
      <c r="E68" s="14" t="inlineStr">
        <is>
          <t>전 사육두수 180두분 + 팔러 안테나</t>
        </is>
      </c>
      <c r="F68" s="14" t="inlineStr">
        <is>
          <t>ICAR 인증</t>
        </is>
      </c>
      <c r="G68" s="13" t="inlineStr">
        <is>
          <t>식</t>
        </is>
      </c>
      <c r="H68" s="16" t="n">
        <v>1</v>
      </c>
      <c r="I68" s="13" t="inlineStr">
        <is>
          <t>한국조달</t>
        </is>
      </c>
      <c r="J68" s="14" t="inlineStr">
        <is>
          <t>개체번호 체계 통일(A-5 귀표와 일치)</t>
        </is>
      </c>
      <c r="K68" s="14" t="inlineStr">
        <is>
          <t>-</t>
        </is>
      </c>
    </row>
    <row r="69" ht="32" customHeight="1">
      <c r="A69" s="13" t="n">
        <v>65</v>
      </c>
      <c r="B69" s="14" t="inlineStr">
        <is>
          <t>B. 착유시스템(팔러)</t>
        </is>
      </c>
      <c r="C69" s="14" t="inlineStr">
        <is>
          <t>B-2 개체·동선</t>
        </is>
      </c>
      <c r="D69" s="15" t="inlineStr">
        <is>
          <t>자동 선별게이트(Sort Gate)</t>
        </is>
      </c>
      <c r="E69" s="14" t="inlineStr">
        <is>
          <t>2구 / 수정·진료·건유 자동 분리</t>
        </is>
      </c>
      <c r="F69" s="14" t="inlineStr">
        <is>
          <t>-</t>
        </is>
      </c>
      <c r="G69" s="13" t="inlineStr">
        <is>
          <t>식</t>
        </is>
      </c>
      <c r="H69" s="16" t="n">
        <v>1</v>
      </c>
      <c r="I69" s="13" t="inlineStr">
        <is>
          <t>한국조달</t>
        </is>
      </c>
      <c r="J69" s="14" t="inlineStr">
        <is>
          <t>개체인식 연동</t>
        </is>
      </c>
      <c r="K69" s="14" t="inlineStr">
        <is>
          <t>번식관리(E군) 작업 효율 직결</t>
        </is>
      </c>
    </row>
    <row r="70" ht="32" customHeight="1">
      <c r="A70" s="13" t="n">
        <v>66</v>
      </c>
      <c r="B70" s="14" t="inlineStr">
        <is>
          <t>B. 착유시스템(팔러)</t>
        </is>
      </c>
      <c r="C70" s="14" t="inlineStr">
        <is>
          <t>B-2 개체·동선</t>
        </is>
      </c>
      <c r="D70" s="15" t="inlineStr">
        <is>
          <t>대기장 크라우드 게이트(자동 몰이문)</t>
        </is>
      </c>
      <c r="E70" s="14" t="inlineStr">
        <is>
          <t>-</t>
        </is>
      </c>
      <c r="F70" s="14" t="inlineStr">
        <is>
          <t>-</t>
        </is>
      </c>
      <c r="G70" s="13" t="inlineStr">
        <is>
          <t>식</t>
        </is>
      </c>
      <c r="H70" s="16" t="n">
        <v>1</v>
      </c>
      <c r="I70" s="13" t="inlineStr">
        <is>
          <t>한국조달</t>
        </is>
      </c>
      <c r="J70" s="14" t="inlineStr">
        <is>
          <t>-</t>
        </is>
      </c>
      <c r="K70" s="14" t="inlineStr">
        <is>
          <t>★ 원본 누락. 착유 노동력 절감 핵심</t>
        </is>
      </c>
    </row>
    <row r="71" ht="32" customHeight="1">
      <c r="A71" s="13" t="n">
        <v>67</v>
      </c>
      <c r="B71" s="14" t="inlineStr">
        <is>
          <t>B. 착유시스템(팔러)</t>
        </is>
      </c>
      <c r="C71" s="14" t="inlineStr">
        <is>
          <t>B-3 유방 위생</t>
        </is>
      </c>
      <c r="D71" s="15" t="inlineStr">
        <is>
          <t>자동 티트 스프레이어</t>
        </is>
      </c>
      <c r="E71" s="14" t="inlineStr">
        <is>
          <t>착유 후 자동 분무</t>
        </is>
      </c>
      <c r="F71" s="14" t="inlineStr">
        <is>
          <t>-</t>
        </is>
      </c>
      <c r="G71" s="13" t="inlineStr">
        <is>
          <t>식</t>
        </is>
      </c>
      <c r="H71" s="16" t="n">
        <v>1</v>
      </c>
      <c r="I71" s="13" t="inlineStr">
        <is>
          <t>한국조달</t>
        </is>
      </c>
      <c r="J71" s="14" t="inlineStr">
        <is>
          <t>-</t>
        </is>
      </c>
      <c r="K71" s="14" t="inlineStr">
        <is>
          <t>-</t>
        </is>
      </c>
    </row>
    <row r="72" ht="32" customHeight="1">
      <c r="A72" s="13" t="n">
        <v>68</v>
      </c>
      <c r="B72" s="14" t="inlineStr">
        <is>
          <t>B. 착유시스템(팔러)</t>
        </is>
      </c>
      <c r="C72" s="14" t="inlineStr">
        <is>
          <t>B-3 유방 위생</t>
        </is>
      </c>
      <c r="D72" s="15" t="inlineStr">
        <is>
          <t>티트딥·드라핑 약제</t>
        </is>
      </c>
      <c r="E72" s="14" t="inlineStr">
        <is>
          <t>1년 소요량</t>
        </is>
      </c>
      <c r="F72" s="14" t="inlineStr">
        <is>
          <t>-</t>
        </is>
      </c>
      <c r="G72" s="13" t="inlineStr">
        <is>
          <t>식</t>
        </is>
      </c>
      <c r="H72" s="16" t="n">
        <v>1</v>
      </c>
      <c r="I72" s="13" t="inlineStr">
        <is>
          <t>한국+현지</t>
        </is>
      </c>
      <c r="J72" s="14" t="inlineStr">
        <is>
          <t>현지 조달처 확보</t>
        </is>
      </c>
      <c r="K72" s="18" t="inlineStr">
        <is>
          <t>▲ 현지 반복조달 경로 확보 필요</t>
        </is>
      </c>
    </row>
    <row r="73" ht="32" customHeight="1">
      <c r="A73" s="13" t="n">
        <v>69</v>
      </c>
      <c r="B73" s="14" t="inlineStr">
        <is>
          <t>B. 착유시스템(팔러)</t>
        </is>
      </c>
      <c r="C73" s="14" t="inlineStr">
        <is>
          <t>B-3 유방 위생</t>
        </is>
      </c>
      <c r="D73" s="15" t="inlineStr">
        <is>
          <t>유방염 진단 키트(CMT 페들·시약)</t>
        </is>
      </c>
      <c r="E73" s="14" t="inlineStr">
        <is>
          <t>현장 간이진단</t>
        </is>
      </c>
      <c r="F73" s="14" t="inlineStr">
        <is>
          <t>-</t>
        </is>
      </c>
      <c r="G73" s="13" t="inlineStr">
        <is>
          <t>식</t>
        </is>
      </c>
      <c r="H73" s="16" t="n">
        <v>1</v>
      </c>
      <c r="I73" s="13" t="inlineStr">
        <is>
          <t>한국조달</t>
        </is>
      </c>
      <c r="J73" s="14" t="inlineStr">
        <is>
          <t>체세포측정기(F군)와 병행</t>
        </is>
      </c>
      <c r="K73" s="14" t="inlineStr">
        <is>
          <t>-</t>
        </is>
      </c>
    </row>
    <row r="74" ht="32" customHeight="1">
      <c r="A74" s="13" t="n">
        <v>70</v>
      </c>
      <c r="B74" s="14" t="inlineStr">
        <is>
          <t>B. 착유시스템(팔러)</t>
        </is>
      </c>
      <c r="C74" s="14" t="inlineStr">
        <is>
          <t>B-3 유방 위생</t>
        </is>
      </c>
      <c r="D74" s="15" t="inlineStr">
        <is>
          <t>착유 위생자재(페이퍼타올·위생장갑)</t>
        </is>
      </c>
      <c r="E74" s="14" t="inlineStr">
        <is>
          <t>1년 소요량</t>
        </is>
      </c>
      <c r="F74" s="14" t="inlineStr">
        <is>
          <t>-</t>
        </is>
      </c>
      <c r="G74" s="13" t="inlineStr">
        <is>
          <t>식</t>
        </is>
      </c>
      <c r="H74" s="16" t="n">
        <v>1</v>
      </c>
      <c r="I74" s="13" t="inlineStr">
        <is>
          <t>한국+현지</t>
        </is>
      </c>
      <c r="J74" s="14" t="inlineStr">
        <is>
          <t>-</t>
        </is>
      </c>
      <c r="K74" s="14" t="inlineStr">
        <is>
          <t>-</t>
        </is>
      </c>
    </row>
    <row r="75" ht="32" customHeight="1">
      <c r="A75" s="13" t="n">
        <v>71</v>
      </c>
      <c r="B75" s="14" t="inlineStr">
        <is>
          <t>B. 착유시스템(팔러)</t>
        </is>
      </c>
      <c r="C75" s="14" t="inlineStr">
        <is>
          <t>B-4 냉각·집유</t>
        </is>
      </c>
      <c r="D75" s="15" t="inlineStr">
        <is>
          <t>원유냉각탱크 3,000L</t>
        </is>
      </c>
      <c r="E75" s="14" t="inlineStr">
        <is>
          <t>직냉식 / 자동세척(CIP) / 원격 온도감시·기록</t>
        </is>
      </c>
      <c r="F75" s="14" t="inlineStr">
        <is>
          <t>-</t>
        </is>
      </c>
      <c r="G75" s="13" t="inlineStr">
        <is>
          <t>대</t>
        </is>
      </c>
      <c r="H75" s="16" t="n">
        <v>2</v>
      </c>
      <c r="I75" s="13" t="inlineStr">
        <is>
          <t>한국조달</t>
        </is>
      </c>
      <c r="J75" s="14" t="inlineStr">
        <is>
          <t>비상발전 우선 회로</t>
        </is>
      </c>
      <c r="K75" s="14" t="inlineStr">
        <is>
          <t>★ 원본 '원유 냉각 탱크' 규격 확정. 자가 원유 2.5톤/일 × 2회 집유(예비 1기)</t>
        </is>
      </c>
    </row>
    <row r="76" ht="32" customHeight="1">
      <c r="A76" s="13" t="n">
        <v>72</v>
      </c>
      <c r="B76" s="14" t="inlineStr">
        <is>
          <t>B. 착유시스템(팔러)</t>
        </is>
      </c>
      <c r="C76" s="14" t="inlineStr">
        <is>
          <t>B-4 냉각·집유</t>
        </is>
      </c>
      <c r="D76" s="15" t="inlineStr">
        <is>
          <t>프리쿨러(판형열교환기) + 원유펌프</t>
        </is>
      </c>
      <c r="E76" s="14" t="inlineStr">
        <is>
          <t>열회수형</t>
        </is>
      </c>
      <c r="F76" s="14" t="inlineStr">
        <is>
          <t>-</t>
        </is>
      </c>
      <c r="G76" s="13" t="inlineStr">
        <is>
          <t>식</t>
        </is>
      </c>
      <c r="H76" s="16" t="n">
        <v>1</v>
      </c>
      <c r="I76" s="13" t="inlineStr">
        <is>
          <t>한국조달</t>
        </is>
      </c>
      <c r="J76" s="14" t="inlineStr">
        <is>
          <t>회수열을 세척 온수로 활용</t>
        </is>
      </c>
      <c r="K76" s="14" t="inlineStr">
        <is>
          <t>냉각 전력 절감</t>
        </is>
      </c>
    </row>
    <row r="77" ht="32" customHeight="1">
      <c r="A77" s="13" t="n">
        <v>73</v>
      </c>
      <c r="B77" s="14" t="inlineStr">
        <is>
          <t>B. 착유시스템(팔러)</t>
        </is>
      </c>
      <c r="C77" s="14" t="inlineStr">
        <is>
          <t>B-4 냉각·집유</t>
        </is>
      </c>
      <c r="D77" s="15" t="inlineStr">
        <is>
          <t>축사→유가공동 위생 원유배관</t>
        </is>
      </c>
      <c r="E77" s="14" t="inlineStr">
        <is>
          <t>SUS316L / 약 100m / 보온·CIP 대응</t>
        </is>
      </c>
      <c r="F77" s="14" t="inlineStr">
        <is>
          <t>-</t>
        </is>
      </c>
      <c r="G77" s="13" t="inlineStr">
        <is>
          <t>식</t>
        </is>
      </c>
      <c r="H77" s="16" t="n">
        <v>1</v>
      </c>
      <c r="I77" s="13" t="inlineStr">
        <is>
          <t>한국조달</t>
        </is>
      </c>
      <c r="J77" s="14" t="inlineStr">
        <is>
          <t>유가공 수유설비(F군)와 직결</t>
        </is>
      </c>
      <c r="K77" s="14" t="inlineStr">
        <is>
          <t>무살균 직송으로 신선도 확보</t>
        </is>
      </c>
    </row>
    <row r="78" ht="32" customHeight="1">
      <c r="A78" s="13" t="n">
        <v>74</v>
      </c>
      <c r="B78" s="14" t="inlineStr">
        <is>
          <t>B. 착유시스템(팔러)</t>
        </is>
      </c>
      <c r="C78" s="14" t="inlineStr">
        <is>
          <t>B-5 세척</t>
        </is>
      </c>
      <c r="D78" s="15" t="inlineStr">
        <is>
          <t>자동 CIP 세척장치(산·알칼리 2액)</t>
        </is>
      </c>
      <c r="E78" s="14" t="inlineStr">
        <is>
          <t>온도·농도·시간 자동 기록</t>
        </is>
      </c>
      <c r="F78" s="14" t="inlineStr">
        <is>
          <t>-</t>
        </is>
      </c>
      <c r="G78" s="13" t="inlineStr">
        <is>
          <t>식</t>
        </is>
      </c>
      <c r="H78" s="16" t="n">
        <v>1</v>
      </c>
      <c r="I78" s="13" t="inlineStr">
        <is>
          <t>한국조달</t>
        </is>
      </c>
      <c r="J78" s="14" t="inlineStr">
        <is>
          <t>온수기 연동</t>
        </is>
      </c>
      <c r="K78" s="14" t="inlineStr">
        <is>
          <t>체세포·세균수 관리의 핵심</t>
        </is>
      </c>
    </row>
    <row r="79" ht="32" customHeight="1">
      <c r="A79" s="13" t="n">
        <v>75</v>
      </c>
      <c r="B79" s="14" t="inlineStr">
        <is>
          <t>B. 착유시스템(팔러)</t>
        </is>
      </c>
      <c r="C79" s="14" t="inlineStr">
        <is>
          <t>B-5 세척</t>
        </is>
      </c>
      <c r="D79" s="15" t="inlineStr">
        <is>
          <t>온수기 500L(세척용) + 열회수 연동</t>
        </is>
      </c>
      <c r="E79" s="14" t="inlineStr">
        <is>
          <t>-</t>
        </is>
      </c>
      <c r="F79" s="14" t="inlineStr">
        <is>
          <t>-</t>
        </is>
      </c>
      <c r="G79" s="13" t="inlineStr">
        <is>
          <t>식</t>
        </is>
      </c>
      <c r="H79" s="16" t="n">
        <v>1</v>
      </c>
      <c r="I79" s="13" t="inlineStr">
        <is>
          <t>한국조달</t>
        </is>
      </c>
      <c r="J79" s="14" t="inlineStr">
        <is>
          <t>프리쿨러 회수열 연결</t>
        </is>
      </c>
      <c r="K79" s="14" t="inlineStr">
        <is>
          <t>-</t>
        </is>
      </c>
    </row>
    <row r="80" ht="32" customHeight="1">
      <c r="A80" s="13" t="n">
        <v>76</v>
      </c>
      <c r="B80" s="14" t="inlineStr">
        <is>
          <t>B. 착유시스템(팔러)</t>
        </is>
      </c>
      <c r="C80" s="14" t="inlineStr">
        <is>
          <t>B-5 세척</t>
        </is>
      </c>
      <c r="D80" s="15" t="inlineStr">
        <is>
          <t>착유설비 세척 화학약품(산·알칼리·살균)</t>
        </is>
      </c>
      <c r="E80" s="14" t="inlineStr">
        <is>
          <t>1년 소요량</t>
        </is>
      </c>
      <c r="F80" s="14" t="inlineStr">
        <is>
          <t>-</t>
        </is>
      </c>
      <c r="G80" s="13" t="inlineStr">
        <is>
          <t>식</t>
        </is>
      </c>
      <c r="H80" s="16" t="n">
        <v>1</v>
      </c>
      <c r="I80" s="13" t="inlineStr">
        <is>
          <t>한국+현지</t>
        </is>
      </c>
      <c r="J80" s="14" t="inlineStr">
        <is>
          <t>현지 조달처 확보</t>
        </is>
      </c>
      <c r="K80" s="18" t="inlineStr">
        <is>
          <t>▲ 현지 조달 불가 시 설비가 무용지물 — 조달경로 사전 확인</t>
        </is>
      </c>
    </row>
    <row r="81" ht="32" customHeight="1">
      <c r="A81" s="13" t="n">
        <v>77</v>
      </c>
      <c r="B81" s="14" t="inlineStr">
        <is>
          <t>B. 착유시스템(팔러)</t>
        </is>
      </c>
      <c r="C81" s="14" t="inlineStr">
        <is>
          <t>B-6 예비부품</t>
        </is>
      </c>
      <c r="D81" s="15" t="inlineStr">
        <is>
          <t>라이너(고무 유두컵) 교체용 소모품</t>
        </is>
      </c>
      <c r="E81" s="14" t="inlineStr">
        <is>
          <t>2,500회 착유 또는 6개월 주기 교체 / 3년 소요량</t>
        </is>
      </c>
      <c r="F81" s="14" t="inlineStr">
        <is>
          <t>-</t>
        </is>
      </c>
      <c r="G81" s="13" t="inlineStr">
        <is>
          <t>식</t>
        </is>
      </c>
      <c r="H81" s="16" t="n">
        <v>1</v>
      </c>
      <c r="I81" s="13" t="inlineStr">
        <is>
          <t>한국조달</t>
        </is>
      </c>
      <c r="J81" s="14" t="inlineStr">
        <is>
          <t>교체 주기 관리대장 운영</t>
        </is>
      </c>
      <c r="K81" s="14" t="inlineStr">
        <is>
          <t>★ 원본 누락. 라이너 미교체가 유방염 급증의 최대 원인</t>
        </is>
      </c>
    </row>
    <row r="82" ht="32" customHeight="1">
      <c r="A82" s="13" t="n">
        <v>78</v>
      </c>
      <c r="B82" s="14" t="inlineStr">
        <is>
          <t>B. 착유시스템(팔러)</t>
        </is>
      </c>
      <c r="C82" s="14" t="inlineStr">
        <is>
          <t>B-6 예비부품</t>
        </is>
      </c>
      <c r="D82" s="15" t="inlineStr">
        <is>
          <t>착유설비 예비부품</t>
        </is>
      </c>
      <c r="E82" s="14" t="inlineStr">
        <is>
          <t>펄세이터·밸브·개스킷·센서·진공펌프 부품 / 2년 소요량</t>
        </is>
      </c>
      <c r="F82" s="14" t="inlineStr">
        <is>
          <t>-</t>
        </is>
      </c>
      <c r="G82" s="13" t="inlineStr">
        <is>
          <t>식</t>
        </is>
      </c>
      <c r="H82" s="16" t="n">
        <v>1</v>
      </c>
      <c r="I82" s="13" t="inlineStr">
        <is>
          <t>한국조달</t>
        </is>
      </c>
      <c r="J82" s="14" t="inlineStr">
        <is>
          <t>-</t>
        </is>
      </c>
      <c r="K82" s="14" t="inlineStr">
        <is>
          <t>★ 원본 누락</t>
        </is>
      </c>
    </row>
    <row r="83" ht="32" customHeight="1">
      <c r="A83" s="13" t="n">
        <v>79</v>
      </c>
      <c r="B83" s="14" t="inlineStr">
        <is>
          <t>B. 착유시스템(팔러)</t>
        </is>
      </c>
      <c r="C83" s="14" t="inlineStr">
        <is>
          <t>B-7 옵션</t>
        </is>
      </c>
      <c r="D83" s="19" t="inlineStr">
        <is>
          <t>[옵션] 착유로봇 1대 (실증·교육 시연용)</t>
        </is>
      </c>
      <c r="E83" s="14" t="inlineStr">
        <is>
          <t>60두/대 / 자동 유두인식</t>
        </is>
      </c>
      <c r="F83" s="14" t="inlineStr">
        <is>
          <t>Lely / DeLaval / GEA 급</t>
        </is>
      </c>
      <c r="G83" s="13" t="inlineStr">
        <is>
          <t>대</t>
        </is>
      </c>
      <c r="H83" s="16" t="n">
        <v>1</v>
      </c>
      <c r="I83" s="13" t="inlineStr">
        <is>
          <t>한국조달</t>
        </is>
      </c>
      <c r="J83" s="14" t="inlineStr">
        <is>
          <t>별도 전용 공간·전력 필요</t>
        </is>
      </c>
      <c r="K83" s="14" t="inlineStr">
        <is>
          <t>★ 원본 '자동 착유 시스템(로봇)' 반영. 100두 규모에서 전면도입은 비경제적 — 시연용 1대 권장</t>
        </is>
      </c>
    </row>
    <row r="84" ht="32" customHeight="1">
      <c r="A84" s="7" t="n">
        <v>80</v>
      </c>
      <c r="B84" s="8" t="inlineStr">
        <is>
          <t>C. TMR 배합 시스템</t>
        </is>
      </c>
      <c r="C84" s="8" t="inlineStr">
        <is>
          <t>C-1 배합·급이</t>
        </is>
      </c>
      <c r="D84" s="9" t="inlineStr">
        <is>
          <t>TMR 배합기 (견인식 수직 2축) 10㎥</t>
        </is>
      </c>
      <c r="E84" s="8" t="inlineStr">
        <is>
          <t>전자저울 / 자동배출 컨베이어 / 트랙터 PTO 구동</t>
        </is>
      </c>
      <c r="F84" s="8" t="inlineStr">
        <is>
          <t>국산 / Faresin / Storti 급</t>
        </is>
      </c>
      <c r="G84" s="7" t="inlineStr">
        <is>
          <t>대</t>
        </is>
      </c>
      <c r="H84" s="10" t="n">
        <v>1</v>
      </c>
      <c r="I84" s="7" t="inlineStr">
        <is>
          <t>한국조달</t>
        </is>
      </c>
      <c r="J84" s="8" t="inlineStr">
        <is>
          <t>대형 트랙터(D군 110마력) 견인 / 사료통로 폭 확보</t>
        </is>
      </c>
      <c r="K84" s="11" t="inlineStr">
        <is>
          <t>★★ 회장님 지시항목. 180두 · 일 TMR 약 7.8톤 대응</t>
        </is>
      </c>
    </row>
    <row r="85" ht="32" customHeight="1">
      <c r="A85" s="7" t="n">
        <v>81</v>
      </c>
      <c r="B85" s="8" t="inlineStr">
        <is>
          <t>C. TMR 배합 시스템</t>
        </is>
      </c>
      <c r="C85" s="8" t="inlineStr">
        <is>
          <t>C-1 배합·급이</t>
        </is>
      </c>
      <c r="D85" s="9" t="inlineStr">
        <is>
          <t>TMR 배합기 (견인식 수직) 6㎥</t>
        </is>
      </c>
      <c r="E85" s="8" t="inlineStr">
        <is>
          <t>육성·건유우 전용 / 예비기</t>
        </is>
      </c>
      <c r="F85" s="8" t="inlineStr">
        <is>
          <t>-</t>
        </is>
      </c>
      <c r="G85" s="7" t="inlineStr">
        <is>
          <t>대</t>
        </is>
      </c>
      <c r="H85" s="10" t="n">
        <v>1</v>
      </c>
      <c r="I85" s="7" t="inlineStr">
        <is>
          <t>한국조달</t>
        </is>
      </c>
      <c r="J85" s="8" t="inlineStr">
        <is>
          <t>소형 트랙터(D군 55마력) 견인</t>
        </is>
      </c>
      <c r="K85" s="8" t="inlineStr">
        <is>
          <t>군별 분리급여 + 고장 대비 이중화</t>
        </is>
      </c>
    </row>
    <row r="86" ht="32" customHeight="1">
      <c r="A86" s="7" t="n">
        <v>82</v>
      </c>
      <c r="B86" s="8" t="inlineStr">
        <is>
          <t>C. TMR 배합 시스템</t>
        </is>
      </c>
      <c r="C86" s="8" t="inlineStr">
        <is>
          <t>C-1 배합·급이</t>
        </is>
      </c>
      <c r="D86" s="9" t="inlineStr">
        <is>
          <t>사료급이기 (자동 사료밀기 로봇)</t>
        </is>
      </c>
      <c r="E86" s="8" t="inlineStr">
        <is>
          <t>자율주행 / 1일 8회 사료밀기</t>
        </is>
      </c>
      <c r="F86" s="8" t="inlineStr">
        <is>
          <t>Lely Juno 급</t>
        </is>
      </c>
      <c r="G86" s="7" t="inlineStr">
        <is>
          <t>대</t>
        </is>
      </c>
      <c r="H86" s="10" t="n">
        <v>1</v>
      </c>
      <c r="I86" s="7" t="inlineStr">
        <is>
          <t>한국조달</t>
        </is>
      </c>
      <c r="J86" s="8" t="inlineStr">
        <is>
          <t>통로 바닥 평탄도 확보 / 충전 스테이션</t>
        </is>
      </c>
      <c r="K86" s="8" t="inlineStr">
        <is>
          <t>★ 원본 '사료급이기' 항목 확정 — 사료섭취량 개선 기대(현장검증 병행)</t>
        </is>
      </c>
    </row>
    <row r="87" ht="32" customHeight="1">
      <c r="A87" s="7" t="n">
        <v>83</v>
      </c>
      <c r="B87" s="8" t="inlineStr">
        <is>
          <t>C. TMR 배합 시스템</t>
        </is>
      </c>
      <c r="C87" s="8" t="inlineStr">
        <is>
          <t>C-1 배합·급이</t>
        </is>
      </c>
      <c r="D87" s="9" t="inlineStr">
        <is>
          <t>농후사료 배합기 IJ-600L</t>
        </is>
      </c>
      <c r="E87" s="8" t="inlineStr">
        <is>
          <t>600L / 자가배합·프리믹스용</t>
        </is>
      </c>
      <c r="F87" s="8" t="inlineStr">
        <is>
          <t>IJ-600L (원본 리스트 명기)</t>
        </is>
      </c>
      <c r="G87" s="7" t="inlineStr">
        <is>
          <t>대</t>
        </is>
      </c>
      <c r="H87" s="10" t="n">
        <v>1</v>
      </c>
      <c r="I87" s="7" t="inlineStr">
        <is>
          <t>한국조달</t>
        </is>
      </c>
      <c r="J87" s="8" t="inlineStr">
        <is>
          <t>-</t>
        </is>
      </c>
      <c r="K87" s="8" t="inlineStr">
        <is>
          <t>★ 원본 리스트 제품명 그대로 반영</t>
        </is>
      </c>
    </row>
    <row r="88" ht="32" customHeight="1">
      <c r="A88" s="7" t="n">
        <v>84</v>
      </c>
      <c r="B88" s="8" t="inlineStr">
        <is>
          <t>C. TMR 배합 시스템</t>
        </is>
      </c>
      <c r="C88" s="8" t="inlineStr">
        <is>
          <t>C-1 배합·급이</t>
        </is>
      </c>
      <c r="D88" s="9" t="inlineStr">
        <is>
          <t>사료 첨가제 계량·투입기</t>
        </is>
      </c>
      <c r="E88" s="8" t="inlineStr">
        <is>
          <t>프리믹스·미네랄 계량</t>
        </is>
      </c>
      <c r="F88" s="8" t="inlineStr">
        <is>
          <t>-</t>
        </is>
      </c>
      <c r="G88" s="7" t="inlineStr">
        <is>
          <t>식</t>
        </is>
      </c>
      <c r="H88" s="10" t="n">
        <v>1</v>
      </c>
      <c r="I88" s="7" t="inlineStr">
        <is>
          <t>한국조달</t>
        </is>
      </c>
      <c r="J88" s="8" t="inlineStr">
        <is>
          <t>-</t>
        </is>
      </c>
      <c r="K88" s="8" t="inlineStr">
        <is>
          <t>-</t>
        </is>
      </c>
    </row>
    <row r="89" ht="32" customHeight="1">
      <c r="A89" s="7" t="n">
        <v>85</v>
      </c>
      <c r="B89" s="8" t="inlineStr">
        <is>
          <t>C. TMR 배합 시스템</t>
        </is>
      </c>
      <c r="C89" s="8" t="inlineStr">
        <is>
          <t>C-1 배합·급이</t>
        </is>
      </c>
      <c r="D89" s="9" t="inlineStr">
        <is>
          <t>미네랄·블록 급여대</t>
        </is>
      </c>
      <c r="E89" s="8" t="inlineStr">
        <is>
          <t>-</t>
        </is>
      </c>
      <c r="F89" s="8" t="inlineStr">
        <is>
          <t>-</t>
        </is>
      </c>
      <c r="G89" s="7" t="inlineStr">
        <is>
          <t>식</t>
        </is>
      </c>
      <c r="H89" s="10" t="n">
        <v>1</v>
      </c>
      <c r="I89" s="7" t="inlineStr">
        <is>
          <t>한국+현지</t>
        </is>
      </c>
      <c r="J89" s="8" t="inlineStr">
        <is>
          <t>-</t>
        </is>
      </c>
      <c r="K89" s="8" t="inlineStr">
        <is>
          <t>-</t>
        </is>
      </c>
    </row>
    <row r="90" ht="32" customHeight="1">
      <c r="A90" s="7" t="n">
        <v>86</v>
      </c>
      <c r="B90" s="8" t="inlineStr">
        <is>
          <t>C. TMR 배합 시스템</t>
        </is>
      </c>
      <c r="C90" s="8" t="inlineStr">
        <is>
          <t>C-2 저장시설</t>
        </is>
      </c>
      <c r="D90" s="9" t="inlineStr">
        <is>
          <t>조사료 창고</t>
        </is>
      </c>
      <c r="E90" s="8" t="inlineStr">
        <is>
          <t>450㎡ / 지붕형 개방창고 / 베일 800롤 보관</t>
        </is>
      </c>
      <c r="F90" s="8" t="inlineStr">
        <is>
          <t>-</t>
        </is>
      </c>
      <c r="G90" s="7" t="inlineStr">
        <is>
          <t>동</t>
        </is>
      </c>
      <c r="H90" s="10" t="n">
        <v>1</v>
      </c>
      <c r="I90" s="7" t="inlineStr">
        <is>
          <t>현지조달</t>
        </is>
      </c>
      <c r="J90" s="8" t="inlineStr">
        <is>
          <t>TMR 배합기 진입 동선 확보</t>
        </is>
      </c>
      <c r="K90" s="8" t="inlineStr">
        <is>
          <t>★ 원본 '사료보관시설' 규격 확정</t>
        </is>
      </c>
    </row>
    <row r="91" ht="32" customHeight="1">
      <c r="A91" s="7" t="n">
        <v>87</v>
      </c>
      <c r="B91" s="8" t="inlineStr">
        <is>
          <t>C. TMR 배합 시스템</t>
        </is>
      </c>
      <c r="C91" s="8" t="inlineStr">
        <is>
          <t>C-2 저장시설</t>
        </is>
      </c>
      <c r="D91" s="9" t="inlineStr">
        <is>
          <t>사일리지 벙커사일로</t>
        </is>
      </c>
      <c r="E91" s="8" t="inlineStr">
        <is>
          <t>폭 8m × 길이 30m × 2기 / 콘크리트 옹벽·바닥 / 배액구</t>
        </is>
      </c>
      <c r="F91" s="8" t="inlineStr">
        <is>
          <t>-</t>
        </is>
      </c>
      <c r="G91" s="7" t="inlineStr">
        <is>
          <t>기</t>
        </is>
      </c>
      <c r="H91" s="10" t="n">
        <v>2</v>
      </c>
      <c r="I91" s="7" t="inlineStr">
        <is>
          <t>현지조달</t>
        </is>
      </c>
      <c r="J91" s="8" t="inlineStr">
        <is>
          <t>트랙터 답압 작업 가능 폭 확보</t>
        </is>
      </c>
      <c r="K91" s="8" t="inlineStr">
        <is>
          <t>★ 원본 누락. 중앙아 옥수수·알팔파 사일리지 조제에 필수</t>
        </is>
      </c>
    </row>
    <row r="92" ht="32" customHeight="1">
      <c r="A92" s="7" t="n">
        <v>88</v>
      </c>
      <c r="B92" s="8" t="inlineStr">
        <is>
          <t>C. TMR 배합 시스템</t>
        </is>
      </c>
      <c r="C92" s="8" t="inlineStr">
        <is>
          <t>C-2 저장시설</t>
        </is>
      </c>
      <c r="D92" s="9" t="inlineStr">
        <is>
          <t>농후사료 사일로 20톤 + 이송오거</t>
        </is>
      </c>
      <c r="E92" s="8" t="inlineStr">
        <is>
          <t>FRP 또는 철제 / 자동 이송</t>
        </is>
      </c>
      <c r="F92" s="8" t="inlineStr">
        <is>
          <t>-</t>
        </is>
      </c>
      <c r="G92" s="7" t="inlineStr">
        <is>
          <t>기</t>
        </is>
      </c>
      <c r="H92" s="10" t="n">
        <v>2</v>
      </c>
      <c r="I92" s="7" t="inlineStr">
        <is>
          <t>한국조달</t>
        </is>
      </c>
      <c r="J92" s="8" t="inlineStr">
        <is>
          <t>사료차 진입 동선 확보</t>
        </is>
      </c>
      <c r="K92" s="8" t="inlineStr">
        <is>
          <t>-</t>
        </is>
      </c>
    </row>
    <row r="93" ht="32" customHeight="1">
      <c r="A93" s="7" t="n">
        <v>89</v>
      </c>
      <c r="B93" s="8" t="inlineStr">
        <is>
          <t>C. TMR 배합 시스템</t>
        </is>
      </c>
      <c r="C93" s="8" t="inlineStr">
        <is>
          <t>C-3 조사료 처리</t>
        </is>
      </c>
      <c r="D93" s="9" t="inlineStr">
        <is>
          <t>베일 그랩(트랙터 장착)</t>
        </is>
      </c>
      <c r="E93" s="8" t="inlineStr">
        <is>
          <t>-</t>
        </is>
      </c>
      <c r="F93" s="8" t="inlineStr">
        <is>
          <t>-</t>
        </is>
      </c>
      <c r="G93" s="7" t="inlineStr">
        <is>
          <t>대</t>
        </is>
      </c>
      <c r="H93" s="10" t="n">
        <v>1</v>
      </c>
      <c r="I93" s="7" t="inlineStr">
        <is>
          <t>한국조달</t>
        </is>
      </c>
      <c r="J93" s="8" t="inlineStr">
        <is>
          <t>트랙터 로더 장착</t>
        </is>
      </c>
      <c r="K93" s="8" t="inlineStr">
        <is>
          <t>-</t>
        </is>
      </c>
    </row>
    <row r="94" ht="32" customHeight="1">
      <c r="A94" s="7" t="n">
        <v>90</v>
      </c>
      <c r="B94" s="8" t="inlineStr">
        <is>
          <t>C. TMR 배합 시스템</t>
        </is>
      </c>
      <c r="C94" s="8" t="inlineStr">
        <is>
          <t>C-3 조사료 처리</t>
        </is>
      </c>
      <c r="D94" s="9" t="inlineStr">
        <is>
          <t>베일 랩핑기</t>
        </is>
      </c>
      <c r="E94" s="8" t="inlineStr">
        <is>
          <t>원형베일 랩핑</t>
        </is>
      </c>
      <c r="F94" s="8" t="inlineStr">
        <is>
          <t>-</t>
        </is>
      </c>
      <c r="G94" s="7" t="inlineStr">
        <is>
          <t>대</t>
        </is>
      </c>
      <c r="H94" s="10" t="n">
        <v>1</v>
      </c>
      <c r="I94" s="7" t="inlineStr">
        <is>
          <t>한국조달</t>
        </is>
      </c>
      <c r="J94" s="8" t="inlineStr">
        <is>
          <t>-</t>
        </is>
      </c>
      <c r="K94" s="8" t="inlineStr">
        <is>
          <t>조사료 품질 유지</t>
        </is>
      </c>
    </row>
    <row r="95" ht="32" customHeight="1">
      <c r="A95" s="7" t="n">
        <v>91</v>
      </c>
      <c r="B95" s="8" t="inlineStr">
        <is>
          <t>C. TMR 배합 시스템</t>
        </is>
      </c>
      <c r="C95" s="8" t="inlineStr">
        <is>
          <t>C-3 조사료 처리</t>
        </is>
      </c>
      <c r="D95" s="9" t="inlineStr">
        <is>
          <t>조사료 절단기(베일 슈레더)</t>
        </is>
      </c>
      <c r="E95" s="8" t="inlineStr">
        <is>
          <t>섬유장 조절</t>
        </is>
      </c>
      <c r="F95" s="8" t="inlineStr">
        <is>
          <t>-</t>
        </is>
      </c>
      <c r="G95" s="7" t="inlineStr">
        <is>
          <t>대</t>
        </is>
      </c>
      <c r="H95" s="10" t="n">
        <v>1</v>
      </c>
      <c r="I95" s="7" t="inlineStr">
        <is>
          <t>한국조달</t>
        </is>
      </c>
      <c r="J95" s="8" t="inlineStr">
        <is>
          <t>TMR 배합기와 조합</t>
        </is>
      </c>
      <c r="K95" s="8" t="inlineStr">
        <is>
          <t>★ 원본 누락. 섬유장 관리가 반추·유지율의 기본</t>
        </is>
      </c>
    </row>
    <row r="96" ht="32" customHeight="1">
      <c r="A96" s="7" t="n">
        <v>92</v>
      </c>
      <c r="B96" s="8" t="inlineStr">
        <is>
          <t>C. TMR 배합 시스템</t>
        </is>
      </c>
      <c r="C96" s="8" t="inlineStr">
        <is>
          <t>C-4 사료 품질관리</t>
        </is>
      </c>
      <c r="D96" s="9" t="inlineStr">
        <is>
          <t>사료 수분측정기(건조식)</t>
        </is>
      </c>
      <c r="E96" s="8" t="inlineStr">
        <is>
          <t>-</t>
        </is>
      </c>
      <c r="F96" s="8" t="inlineStr">
        <is>
          <t>-</t>
        </is>
      </c>
      <c r="G96" s="7" t="inlineStr">
        <is>
          <t>대</t>
        </is>
      </c>
      <c r="H96" s="10" t="n">
        <v>1</v>
      </c>
      <c r="I96" s="7" t="inlineStr">
        <is>
          <t>한국조달</t>
        </is>
      </c>
      <c r="J96" s="8" t="inlineStr">
        <is>
          <t>TMR 배합 시 매일 측정</t>
        </is>
      </c>
      <c r="K96" s="11" t="inlineStr">
        <is>
          <t>★★ 원본 누락. 사일리지 수분 변동을 반영 못하면 TMR 배합이 무의미</t>
        </is>
      </c>
    </row>
    <row r="97" ht="32" customHeight="1">
      <c r="A97" s="7" t="n">
        <v>93</v>
      </c>
      <c r="B97" s="8" t="inlineStr">
        <is>
          <t>C. TMR 배합 시스템</t>
        </is>
      </c>
      <c r="C97" s="8" t="inlineStr">
        <is>
          <t>C-4 사료 품질관리</t>
        </is>
      </c>
      <c r="D97" s="9" t="inlineStr">
        <is>
          <t>사료 계량 저울(플랫폼 스케일)</t>
        </is>
      </c>
      <c r="E97" s="8" t="inlineStr">
        <is>
          <t>2톤급 / 디지털</t>
        </is>
      </c>
      <c r="F97" s="8" t="inlineStr">
        <is>
          <t>-</t>
        </is>
      </c>
      <c r="G97" s="7" t="inlineStr">
        <is>
          <t>대</t>
        </is>
      </c>
      <c r="H97" s="10" t="n">
        <v>1</v>
      </c>
      <c r="I97" s="7" t="inlineStr">
        <is>
          <t>한국조달</t>
        </is>
      </c>
      <c r="J97" s="8" t="inlineStr">
        <is>
          <t>-</t>
        </is>
      </c>
      <c r="K97" s="8" t="inlineStr">
        <is>
          <t>-</t>
        </is>
      </c>
    </row>
    <row r="98" ht="32" customHeight="1">
      <c r="A98" s="7" t="n">
        <v>94</v>
      </c>
      <c r="B98" s="8" t="inlineStr">
        <is>
          <t>C. TMR 배합 시스템</t>
        </is>
      </c>
      <c r="C98" s="8" t="inlineStr">
        <is>
          <t>C-4 사료 품질관리</t>
        </is>
      </c>
      <c r="D98" s="9" t="inlineStr">
        <is>
          <t>사료 시료 채취·보관 키트</t>
        </is>
      </c>
      <c r="E98" s="8" t="inlineStr">
        <is>
          <t>성분분석 의뢰용</t>
        </is>
      </c>
      <c r="F98" s="8" t="inlineStr">
        <is>
          <t>-</t>
        </is>
      </c>
      <c r="G98" s="7" t="inlineStr">
        <is>
          <t>식</t>
        </is>
      </c>
      <c r="H98" s="10" t="n">
        <v>1</v>
      </c>
      <c r="I98" s="7" t="inlineStr">
        <is>
          <t>한국조달</t>
        </is>
      </c>
      <c r="J98" s="8" t="inlineStr">
        <is>
          <t>-</t>
        </is>
      </c>
      <c r="K98" s="8" t="inlineStr">
        <is>
          <t>-</t>
        </is>
      </c>
    </row>
    <row r="99" ht="32" customHeight="1">
      <c r="A99" s="7" t="n">
        <v>95</v>
      </c>
      <c r="B99" s="8" t="inlineStr">
        <is>
          <t>C. TMR 배합 시스템</t>
        </is>
      </c>
      <c r="C99" s="8" t="inlineStr">
        <is>
          <t>C-4 사료 품질관리</t>
        </is>
      </c>
      <c r="D99" s="9" t="inlineStr">
        <is>
          <t>TMR 입자도 측정 체(Penn State Shaker)</t>
        </is>
      </c>
      <c r="E99" s="8" t="inlineStr">
        <is>
          <t>3단 체 / 유효섬유 관리</t>
        </is>
      </c>
      <c r="F99" s="8" t="inlineStr">
        <is>
          <t>-</t>
        </is>
      </c>
      <c r="G99" s="7" t="inlineStr">
        <is>
          <t>식</t>
        </is>
      </c>
      <c r="H99" s="10" t="n">
        <v>1</v>
      </c>
      <c r="I99" s="7" t="inlineStr">
        <is>
          <t>한국조달</t>
        </is>
      </c>
      <c r="J99" s="8" t="inlineStr">
        <is>
          <t>-</t>
        </is>
      </c>
      <c r="K99" s="8" t="inlineStr">
        <is>
          <t>★ 원본 누락. TMR 품질 검증의 표준 도구</t>
        </is>
      </c>
    </row>
    <row r="100" ht="32" customHeight="1">
      <c r="A100" s="7" t="n">
        <v>96</v>
      </c>
      <c r="B100" s="8" t="inlineStr">
        <is>
          <t>C. TMR 배합 시스템</t>
        </is>
      </c>
      <c r="C100" s="8" t="inlineStr">
        <is>
          <t>C-5 예비부품</t>
        </is>
      </c>
      <c r="D100" s="9" t="inlineStr">
        <is>
          <t>TMR 배합기 예비부품</t>
        </is>
      </c>
      <c r="E100" s="8" t="inlineStr">
        <is>
          <t>칼날·저울 로드셀·오거·유압 부품 / 2년 소요량</t>
        </is>
      </c>
      <c r="F100" s="8" t="inlineStr">
        <is>
          <t>-</t>
        </is>
      </c>
      <c r="G100" s="7" t="inlineStr">
        <is>
          <t>식</t>
        </is>
      </c>
      <c r="H100" s="10" t="n">
        <v>1</v>
      </c>
      <c r="I100" s="7" t="inlineStr">
        <is>
          <t>한국조달</t>
        </is>
      </c>
      <c r="J100" s="8" t="inlineStr">
        <is>
          <t>-</t>
        </is>
      </c>
      <c r="K100" s="8" t="inlineStr">
        <is>
          <t>★ 칼날 마모 시 배합 균일도 급락</t>
        </is>
      </c>
    </row>
    <row r="101" ht="32" customHeight="1">
      <c r="A101" s="7" t="n">
        <v>97</v>
      </c>
      <c r="B101" s="8" t="inlineStr">
        <is>
          <t>C. TMR 배합 시스템</t>
        </is>
      </c>
      <c r="C101" s="8" t="inlineStr">
        <is>
          <t>C-6 옵션</t>
        </is>
      </c>
      <c r="D101" s="20" t="inlineStr">
        <is>
          <t>[옵션] 개체별 농후사료 자동급이기 8두용</t>
        </is>
      </c>
      <c r="E101" s="8" t="inlineStr">
        <is>
          <t>개체인식 연동 정밀급여</t>
        </is>
      </c>
      <c r="F101" s="8" t="inlineStr">
        <is>
          <t>-</t>
        </is>
      </c>
      <c r="G101" s="7" t="inlineStr">
        <is>
          <t>대</t>
        </is>
      </c>
      <c r="H101" s="10" t="n">
        <v>3</v>
      </c>
      <c r="I101" s="7" t="inlineStr">
        <is>
          <t>한국조달</t>
        </is>
      </c>
      <c r="J101" s="8" t="inlineStr">
        <is>
          <t>개체인식(B군) 연동</t>
        </is>
      </c>
      <c r="K101" s="8" t="inlineStr">
        <is>
          <t>고능력우 정밀급여 실증용</t>
        </is>
      </c>
    </row>
    <row r="102" ht="32" customHeight="1">
      <c r="A102" s="13" t="n">
        <v>98</v>
      </c>
      <c r="B102" s="14" t="inlineStr">
        <is>
          <t>D. 분뇨처리 시스템</t>
        </is>
      </c>
      <c r="C102" s="14" t="inlineStr">
        <is>
          <t>D-1 시설</t>
        </is>
      </c>
      <c r="D102" s="15" t="inlineStr">
        <is>
          <t>퇴비사·분뇨처리동</t>
        </is>
      </c>
      <c r="E102" s="14" t="inlineStr">
        <is>
          <t>600㎡ / 지붕형 발효사 / 침출수 집수·차단층 / 수직발효조 설치공간 포함</t>
        </is>
      </c>
      <c r="F102" s="14" t="inlineStr">
        <is>
          <t>일 처리 10톤</t>
        </is>
      </c>
      <c r="G102" s="13" t="inlineStr">
        <is>
          <t>동</t>
        </is>
      </c>
      <c r="H102" s="16" t="n">
        <v>1</v>
      </c>
      <c r="I102" s="13" t="inlineStr">
        <is>
          <t>현지조달</t>
        </is>
      </c>
      <c r="J102" s="14" t="inlineStr">
        <is>
          <t>우사 스크래퍼 배출구와 직결</t>
        </is>
      </c>
      <c r="K102" s="14" t="inlineStr">
        <is>
          <t>★ 원본 '기타(분뇨처리시설)' 규격 확정</t>
        </is>
      </c>
    </row>
    <row r="103" ht="32" customHeight="1">
      <c r="A103" s="13" t="n">
        <v>99</v>
      </c>
      <c r="B103" s="14" t="inlineStr">
        <is>
          <t>D. 분뇨처리 시스템</t>
        </is>
      </c>
      <c r="C103" s="14" t="inlineStr">
        <is>
          <t>D-1 시설</t>
        </is>
      </c>
      <c r="D103" s="15" t="inlineStr">
        <is>
          <t>액비·슬러리 저류조</t>
        </is>
      </c>
      <c r="E103" s="14" t="inlineStr">
        <is>
          <t>200톤 / 콘크리트 밀폐형 / 악취 저감 덮개</t>
        </is>
      </c>
      <c r="F103" s="14" t="inlineStr">
        <is>
          <t>-</t>
        </is>
      </c>
      <c r="G103" s="13" t="inlineStr">
        <is>
          <t>기</t>
        </is>
      </c>
      <c r="H103" s="16" t="n">
        <v>1</v>
      </c>
      <c r="I103" s="13" t="inlineStr">
        <is>
          <t>현지조달</t>
        </is>
      </c>
      <c r="J103" s="14" t="inlineStr">
        <is>
          <t>고액분리기 후단 연결</t>
        </is>
      </c>
      <c r="K103" s="14" t="inlineStr">
        <is>
          <t>-</t>
        </is>
      </c>
    </row>
    <row r="104" ht="32" customHeight="1">
      <c r="A104" s="13" t="n">
        <v>100</v>
      </c>
      <c r="B104" s="14" t="inlineStr">
        <is>
          <t>D. 분뇨처리 시스템</t>
        </is>
      </c>
      <c r="C104" s="14" t="inlineStr">
        <is>
          <t>D-1 시설</t>
        </is>
      </c>
      <c r="D104" s="15" t="inlineStr">
        <is>
          <t>침출수 집수조</t>
        </is>
      </c>
      <c r="E104" s="14" t="inlineStr">
        <is>
          <t>50톤 / 방수 콘크리트</t>
        </is>
      </c>
      <c r="F104" s="14" t="inlineStr">
        <is>
          <t>-</t>
        </is>
      </c>
      <c r="G104" s="13" t="inlineStr">
        <is>
          <t>기</t>
        </is>
      </c>
      <c r="H104" s="16" t="n">
        <v>1</v>
      </c>
      <c r="I104" s="13" t="inlineStr">
        <is>
          <t>현지조달</t>
        </is>
      </c>
      <c r="J104" s="14" t="inlineStr">
        <is>
          <t>퇴비사 바닥 구배 연결</t>
        </is>
      </c>
      <c r="K104" s="14" t="inlineStr">
        <is>
          <t>환경 인허가 필수 항목</t>
        </is>
      </c>
    </row>
    <row r="105" ht="32" customHeight="1">
      <c r="A105" s="13" t="n">
        <v>101</v>
      </c>
      <c r="B105" s="14" t="inlineStr">
        <is>
          <t>D. 분뇨처리 시스템</t>
        </is>
      </c>
      <c r="C105" s="14" t="inlineStr">
        <is>
          <t>D-1 시설</t>
        </is>
      </c>
      <c r="D105" s="15" t="inlineStr">
        <is>
          <t>농기계 보관·정비고</t>
        </is>
      </c>
      <c r="E105" s="14" t="inlineStr">
        <is>
          <t>200㎡ / 개방형 + 정비 작업공간</t>
        </is>
      </c>
      <c r="F105" s="14" t="inlineStr">
        <is>
          <t>-</t>
        </is>
      </c>
      <c r="G105" s="13" t="inlineStr">
        <is>
          <t>동</t>
        </is>
      </c>
      <c r="H105" s="16" t="n">
        <v>1</v>
      </c>
      <c r="I105" s="13" t="inlineStr">
        <is>
          <t>현지조달</t>
        </is>
      </c>
      <c r="J105" s="14" t="inlineStr">
        <is>
          <t>-</t>
        </is>
      </c>
      <c r="K105" s="14" t="inlineStr">
        <is>
          <t>-</t>
        </is>
      </c>
    </row>
    <row r="106" ht="32" customHeight="1">
      <c r="A106" s="13" t="n">
        <v>102</v>
      </c>
      <c r="B106" s="14" t="inlineStr">
        <is>
          <t>D. 분뇨처리 시스템</t>
        </is>
      </c>
      <c r="C106" s="14" t="inlineStr">
        <is>
          <t>D-2 수거·전처리</t>
        </is>
      </c>
      <c r="D106" s="15" t="inlineStr">
        <is>
          <t>자동 분뇨제거 스크래퍼 시스템</t>
        </is>
      </c>
      <c r="E106" s="14" t="inlineStr">
        <is>
          <t>우사 2열 자동 왕복 / 타이머 제어</t>
        </is>
      </c>
      <c r="F106" s="14" t="inlineStr">
        <is>
          <t>-</t>
        </is>
      </c>
      <c r="G106" s="13" t="inlineStr">
        <is>
          <t>식</t>
        </is>
      </c>
      <c r="H106" s="16" t="n">
        <v>1</v>
      </c>
      <c r="I106" s="13" t="inlineStr">
        <is>
          <t>한국조달</t>
        </is>
      </c>
      <c r="J106" s="14" t="inlineStr">
        <is>
          <t>우사 바닥 레일·구배 시공 선행</t>
        </is>
      </c>
      <c r="K106" s="14" t="inlineStr">
        <is>
          <t>축사 위생·유방염 저감</t>
        </is>
      </c>
    </row>
    <row r="107" ht="32" customHeight="1">
      <c r="A107" s="13" t="n">
        <v>103</v>
      </c>
      <c r="B107" s="14" t="inlineStr">
        <is>
          <t>D. 분뇨처리 시스템</t>
        </is>
      </c>
      <c r="C107" s="14" t="inlineStr">
        <is>
          <t>D-2 수거·전처리</t>
        </is>
      </c>
      <c r="D107" s="15" t="inlineStr">
        <is>
          <t>고액분리기(스크류프레스)</t>
        </is>
      </c>
      <c r="E107" s="14" t="inlineStr">
        <is>
          <t>15㎥/h / 함수율 85% → 65%</t>
        </is>
      </c>
      <c r="F107" s="14" t="inlineStr">
        <is>
          <t>-</t>
        </is>
      </c>
      <c r="G107" s="13" t="inlineStr">
        <is>
          <t>대</t>
        </is>
      </c>
      <c r="H107" s="16" t="n">
        <v>1</v>
      </c>
      <c r="I107" s="13" t="inlineStr">
        <is>
          <t>한국조달</t>
        </is>
      </c>
      <c r="J107" s="14" t="inlineStr">
        <is>
          <t>발효조 투입 전 수분조절</t>
        </is>
      </c>
      <c r="K107" s="14" t="inlineStr">
        <is>
          <t>-</t>
        </is>
      </c>
    </row>
    <row r="108" ht="32" customHeight="1">
      <c r="A108" s="13" t="n">
        <v>104</v>
      </c>
      <c r="B108" s="14" t="inlineStr">
        <is>
          <t>D. 분뇨처리 시스템</t>
        </is>
      </c>
      <c r="C108" s="14" t="inlineStr">
        <is>
          <t>D-3 발효·숙성</t>
        </is>
      </c>
      <c r="D108" s="15" t="inlineStr">
        <is>
          <t>수직형 퇴비교반기 (밀폐 수직발효조)</t>
        </is>
      </c>
      <c r="E108" s="14" t="inlineStr">
        <is>
          <t>처리 10톤/일 / 스크류 교반 + 강제송풍 + 탈취 일체형 / 발효 7~10일</t>
        </is>
      </c>
      <c r="F108" s="14" t="inlineStr">
        <is>
          <t>수직 밀폐발효조 1식</t>
        </is>
      </c>
      <c r="G108" s="13" t="inlineStr">
        <is>
          <t>식</t>
        </is>
      </c>
      <c r="H108" s="16" t="n">
        <v>1</v>
      </c>
      <c r="I108" s="13" t="inlineStr">
        <is>
          <t>한국조달</t>
        </is>
      </c>
      <c r="J108" s="14" t="inlineStr">
        <is>
          <t>전기 용량·기초 콘크리트 확인 / 탈취설비 연결</t>
        </is>
      </c>
      <c r="K108" s="17" t="inlineStr">
        <is>
          <t>★★ 회장님 지시 핵심항목. 원본 '분뇨 교반시설' 확정. 180두 분뇨 약 8.1톤/일 대응. 혹한기 발효온도 유지 — 중앙아 필수사양</t>
        </is>
      </c>
    </row>
    <row r="109" ht="32" customHeight="1">
      <c r="A109" s="13" t="n">
        <v>105</v>
      </c>
      <c r="B109" s="14" t="inlineStr">
        <is>
          <t>D. 분뇨처리 시스템</t>
        </is>
      </c>
      <c r="C109" s="14" t="inlineStr">
        <is>
          <t>D-3 발효·숙성</t>
        </is>
      </c>
      <c r="D109" s="15" t="inlineStr">
        <is>
          <t>퇴비사 주행식 교반기(스캇터)</t>
        </is>
      </c>
      <c r="E109" s="14" t="inlineStr">
        <is>
          <t>폭 4m / 레일 주행 / 2차 숙성용</t>
        </is>
      </c>
      <c r="F109" s="14" t="inlineStr">
        <is>
          <t>-</t>
        </is>
      </c>
      <c r="G109" s="13" t="inlineStr">
        <is>
          <t>대</t>
        </is>
      </c>
      <c r="H109" s="16" t="n">
        <v>1</v>
      </c>
      <c r="I109" s="13" t="inlineStr">
        <is>
          <t>한국조달</t>
        </is>
      </c>
      <c r="J109" s="14" t="inlineStr">
        <is>
          <t>퇴비사 레일 시공 선행</t>
        </is>
      </c>
      <c r="K109" s="14" t="inlineStr">
        <is>
          <t>수직발효조(1차) → 주행교반(2차 숙성) 2단 구조</t>
        </is>
      </c>
    </row>
    <row r="110" ht="32" customHeight="1">
      <c r="A110" s="13" t="n">
        <v>106</v>
      </c>
      <c r="B110" s="14" t="inlineStr">
        <is>
          <t>D. 분뇨처리 시스템</t>
        </is>
      </c>
      <c r="C110" s="14" t="inlineStr">
        <is>
          <t>D-3 발효·숙성</t>
        </is>
      </c>
      <c r="D110" s="15" t="inlineStr">
        <is>
          <t>퇴비 숙성도 측정 키트</t>
        </is>
      </c>
      <c r="E110" s="14" t="inlineStr">
        <is>
          <t>장침 온도계 / 산소농도계 / 수분계 / pH·EC</t>
        </is>
      </c>
      <c r="F110" s="14" t="inlineStr">
        <is>
          <t>-</t>
        </is>
      </c>
      <c r="G110" s="13" t="inlineStr">
        <is>
          <t>식</t>
        </is>
      </c>
      <c r="H110" s="16" t="n">
        <v>1</v>
      </c>
      <c r="I110" s="13" t="inlineStr">
        <is>
          <t>한국조달</t>
        </is>
      </c>
      <c r="J110" s="14" t="inlineStr">
        <is>
          <t>-</t>
        </is>
      </c>
      <c r="K110" s="14" t="inlineStr">
        <is>
          <t>★ 원본 누락. 숙성도 관리 없이는 퇴비 품질 보증 불가</t>
        </is>
      </c>
    </row>
    <row r="111" ht="32" customHeight="1">
      <c r="A111" s="13" t="n">
        <v>107</v>
      </c>
      <c r="B111" s="14" t="inlineStr">
        <is>
          <t>D. 분뇨처리 시스템</t>
        </is>
      </c>
      <c r="C111" s="14" t="inlineStr">
        <is>
          <t>D-4 액비·침출수</t>
        </is>
      </c>
      <c r="D111" s="15" t="inlineStr">
        <is>
          <t>슬러리 저류조 교반기·이송펌프</t>
        </is>
      </c>
      <c r="E111" s="14" t="inlineStr">
        <is>
          <t>저류조 200톤 대응</t>
        </is>
      </c>
      <c r="F111" s="14" t="inlineStr">
        <is>
          <t>-</t>
        </is>
      </c>
      <c r="G111" s="13" t="inlineStr">
        <is>
          <t>식</t>
        </is>
      </c>
      <c r="H111" s="16" t="n">
        <v>1</v>
      </c>
      <c r="I111" s="13" t="inlineStr">
        <is>
          <t>한국조달</t>
        </is>
      </c>
      <c r="J111" s="14" t="inlineStr">
        <is>
          <t>-</t>
        </is>
      </c>
      <c r="K111" s="14" t="inlineStr">
        <is>
          <t>-</t>
        </is>
      </c>
    </row>
    <row r="112" ht="32" customHeight="1">
      <c r="A112" s="13" t="n">
        <v>108</v>
      </c>
      <c r="B112" s="14" t="inlineStr">
        <is>
          <t>D. 분뇨처리 시스템</t>
        </is>
      </c>
      <c r="C112" s="14" t="inlineStr">
        <is>
          <t>D-4 액비·침출수</t>
        </is>
      </c>
      <c r="D112" s="15" t="inlineStr">
        <is>
          <t>침출수 이송펌프·집수설비</t>
        </is>
      </c>
      <c r="E112" s="14" t="inlineStr">
        <is>
          <t>-</t>
        </is>
      </c>
      <c r="F112" s="14" t="inlineStr">
        <is>
          <t>-</t>
        </is>
      </c>
      <c r="G112" s="13" t="inlineStr">
        <is>
          <t>식</t>
        </is>
      </c>
      <c r="H112" s="16" t="n">
        <v>1</v>
      </c>
      <c r="I112" s="13" t="inlineStr">
        <is>
          <t>한국+현지</t>
        </is>
      </c>
      <c r="J112" s="14" t="inlineStr">
        <is>
          <t>집수조 연결</t>
        </is>
      </c>
      <c r="K112" s="14" t="inlineStr">
        <is>
          <t>-</t>
        </is>
      </c>
    </row>
    <row r="113" ht="32" customHeight="1">
      <c r="A113" s="13" t="n">
        <v>109</v>
      </c>
      <c r="B113" s="14" t="inlineStr">
        <is>
          <t>D. 분뇨처리 시스템</t>
        </is>
      </c>
      <c r="C113" s="14" t="inlineStr">
        <is>
          <t>D-5 악취저감</t>
        </is>
      </c>
      <c r="D113" s="15" t="inlineStr">
        <is>
          <t>탈취설비(바이오필터)</t>
        </is>
      </c>
      <c r="E113" s="14" t="inlineStr">
        <is>
          <t>악취 저감 — 파일럿 검증 전제 / D2O 환경기술 적용</t>
        </is>
      </c>
      <c r="F113" s="14" t="inlineStr">
        <is>
          <t>D2O 기술 적용</t>
        </is>
      </c>
      <c r="G113" s="13" t="inlineStr">
        <is>
          <t>식</t>
        </is>
      </c>
      <c r="H113" s="16" t="n">
        <v>1</v>
      </c>
      <c r="I113" s="13" t="inlineStr">
        <is>
          <t>한국+현지</t>
        </is>
      </c>
      <c r="J113" s="14" t="inlineStr">
        <is>
          <t>수직발효조 배기 연결</t>
        </is>
      </c>
      <c r="K113" s="14" t="inlineStr">
        <is>
          <t>D2O 고기능성 축산환경 액상제 병행 — 악취저감·퇴비화 촉진 기대(현장검증 계획 포함)</t>
        </is>
      </c>
    </row>
    <row r="114" ht="32" customHeight="1">
      <c r="A114" s="13" t="n">
        <v>110</v>
      </c>
      <c r="B114" s="14" t="inlineStr">
        <is>
          <t>D. 분뇨처리 시스템</t>
        </is>
      </c>
      <c r="C114" s="14" t="inlineStr">
        <is>
          <t>D-6 깔짚(베딩)</t>
        </is>
      </c>
      <c r="D114" s="15" t="inlineStr">
        <is>
          <t>D2O 베딩(피트모스 기반) 초기 투입분 + HBP 시스템 셋업</t>
        </is>
      </c>
      <c r="E114" s="14" t="inlineStr">
        <is>
          <t>축사 전면 도포 + 관리 SOP + 초기 6개월 소요량</t>
        </is>
      </c>
      <c r="F114" s="14" t="inlineStr">
        <is>
          <t>D2O Bedding / HBP</t>
        </is>
      </c>
      <c r="G114" s="13" t="inlineStr">
        <is>
          <t>식</t>
        </is>
      </c>
      <c r="H114" s="16" t="n">
        <v>1</v>
      </c>
      <c r="I114" s="13" t="inlineStr">
        <is>
          <t>한국조달</t>
        </is>
      </c>
      <c r="J114" s="14" t="inlineStr">
        <is>
          <t>베딩 살포기와 함께 운용</t>
        </is>
      </c>
      <c r="K114" s="17" t="inlineStr">
        <is>
          <t>★★ D2O 사업 연계 — 우즈벡 피트모스 시장 진입 교두보</t>
        </is>
      </c>
    </row>
    <row r="115" ht="32" customHeight="1">
      <c r="A115" s="13" t="n">
        <v>111</v>
      </c>
      <c r="B115" s="14" t="inlineStr">
        <is>
          <t>D. 분뇨처리 시스템</t>
        </is>
      </c>
      <c r="C115" s="14" t="inlineStr">
        <is>
          <t>D-6 깔짚(베딩)</t>
        </is>
      </c>
      <c r="D115" s="15" t="inlineStr">
        <is>
          <t>베딩 살포기(스키드로더 장착)</t>
        </is>
      </c>
      <c r="E115" s="14" t="inlineStr">
        <is>
          <t>-</t>
        </is>
      </c>
      <c r="F115" s="14" t="inlineStr">
        <is>
          <t>-</t>
        </is>
      </c>
      <c r="G115" s="13" t="inlineStr">
        <is>
          <t>대</t>
        </is>
      </c>
      <c r="H115" s="16" t="n">
        <v>1</v>
      </c>
      <c r="I115" s="13" t="inlineStr">
        <is>
          <t>한국조달</t>
        </is>
      </c>
      <c r="J115" s="14" t="inlineStr">
        <is>
          <t>스키드로더 어태치먼트</t>
        </is>
      </c>
      <c r="K115" s="14" t="inlineStr">
        <is>
          <t>-</t>
        </is>
      </c>
    </row>
    <row r="116" ht="32" customHeight="1">
      <c r="A116" s="13" t="n">
        <v>112</v>
      </c>
      <c r="B116" s="14" t="inlineStr">
        <is>
          <t>D. 분뇨처리 시스템</t>
        </is>
      </c>
      <c r="C116" s="14" t="inlineStr">
        <is>
          <t>D-7 상품화·살포</t>
        </is>
      </c>
      <c r="D116" s="15" t="inlineStr">
        <is>
          <t>퇴비 선별기(트롬멜)</t>
        </is>
      </c>
      <c r="E116" s="14" t="inlineStr">
        <is>
          <t>-</t>
        </is>
      </c>
      <c r="F116" s="14" t="inlineStr">
        <is>
          <t>-</t>
        </is>
      </c>
      <c r="G116" s="13" t="inlineStr">
        <is>
          <t>대</t>
        </is>
      </c>
      <c r="H116" s="16" t="n">
        <v>1</v>
      </c>
      <c r="I116" s="13" t="inlineStr">
        <is>
          <t>한국조달</t>
        </is>
      </c>
      <c r="J116" s="14" t="inlineStr">
        <is>
          <t>-</t>
        </is>
      </c>
      <c r="K116" s="14" t="inlineStr">
        <is>
          <t>퇴비 상품화 = 현지 운영수익원</t>
        </is>
      </c>
    </row>
    <row r="117" ht="32" customHeight="1">
      <c r="A117" s="13" t="n">
        <v>113</v>
      </c>
      <c r="B117" s="14" t="inlineStr">
        <is>
          <t>D. 분뇨처리 시스템</t>
        </is>
      </c>
      <c r="C117" s="14" t="inlineStr">
        <is>
          <t>D-7 상품화·살포</t>
        </is>
      </c>
      <c r="D117" s="15" t="inlineStr">
        <is>
          <t>퇴비 정량 포장기(20kg)</t>
        </is>
      </c>
      <c r="E117" s="14" t="inlineStr">
        <is>
          <t>시간당 300포</t>
        </is>
      </c>
      <c r="F117" s="14" t="inlineStr">
        <is>
          <t>-</t>
        </is>
      </c>
      <c r="G117" s="13" t="inlineStr">
        <is>
          <t>대</t>
        </is>
      </c>
      <c r="H117" s="16" t="n">
        <v>1</v>
      </c>
      <c r="I117" s="13" t="inlineStr">
        <is>
          <t>한국조달</t>
        </is>
      </c>
      <c r="J117" s="14" t="inlineStr">
        <is>
          <t>-</t>
        </is>
      </c>
      <c r="K117" s="14" t="inlineStr">
        <is>
          <t>-</t>
        </is>
      </c>
    </row>
    <row r="118" ht="32" customHeight="1">
      <c r="A118" s="13" t="n">
        <v>114</v>
      </c>
      <c r="B118" s="14" t="inlineStr">
        <is>
          <t>D. 분뇨처리 시스템</t>
        </is>
      </c>
      <c r="C118" s="14" t="inlineStr">
        <is>
          <t>D-7 상품화·살포</t>
        </is>
      </c>
      <c r="D118" s="15" t="inlineStr">
        <is>
          <t>액비·퇴비 살포기(견인식)</t>
        </is>
      </c>
      <c r="E118" s="14" t="inlineStr">
        <is>
          <t>8㎥ 견인식</t>
        </is>
      </c>
      <c r="F118" s="14" t="inlineStr">
        <is>
          <t>-</t>
        </is>
      </c>
      <c r="G118" s="13" t="inlineStr">
        <is>
          <t>대</t>
        </is>
      </c>
      <c r="H118" s="16" t="n">
        <v>1</v>
      </c>
      <c r="I118" s="13" t="inlineStr">
        <is>
          <t>한국조달</t>
        </is>
      </c>
      <c r="J118" s="14" t="inlineStr">
        <is>
          <t>트랙터 견인</t>
        </is>
      </c>
      <c r="K118" s="14" t="inlineStr">
        <is>
          <t>경종농가 연계 자원순환</t>
        </is>
      </c>
    </row>
    <row r="119" ht="32" customHeight="1">
      <c r="A119" s="13" t="n">
        <v>115</v>
      </c>
      <c r="B119" s="14" t="inlineStr">
        <is>
          <t>D. 분뇨처리 시스템</t>
        </is>
      </c>
      <c r="C119" s="14" t="inlineStr">
        <is>
          <t>D-7 상품화·살포</t>
        </is>
      </c>
      <c r="D119" s="15" t="inlineStr">
        <is>
          <t>분뇨 운반용 덤프트레일러</t>
        </is>
      </c>
      <c r="E119" s="14" t="inlineStr">
        <is>
          <t>6톤 / 트랙터 견인식</t>
        </is>
      </c>
      <c r="F119" s="14" t="inlineStr">
        <is>
          <t>-</t>
        </is>
      </c>
      <c r="G119" s="13" t="inlineStr">
        <is>
          <t>대</t>
        </is>
      </c>
      <c r="H119" s="16" t="n">
        <v>1</v>
      </c>
      <c r="I119" s="13" t="inlineStr">
        <is>
          <t>한국조달</t>
        </is>
      </c>
      <c r="J119" s="14" t="inlineStr">
        <is>
          <t>-</t>
        </is>
      </c>
      <c r="K119" s="14" t="inlineStr">
        <is>
          <t>-</t>
        </is>
      </c>
    </row>
    <row r="120" ht="32" customHeight="1">
      <c r="A120" s="13" t="n">
        <v>116</v>
      </c>
      <c r="B120" s="14" t="inlineStr">
        <is>
          <t>D. 분뇨처리 시스템</t>
        </is>
      </c>
      <c r="C120" s="14" t="inlineStr">
        <is>
          <t>D-8 농기계</t>
        </is>
      </c>
      <c r="D120" s="15" t="inlineStr">
        <is>
          <t>트랙터 대형 110마력 4WD</t>
        </is>
      </c>
      <c r="E120" s="14" t="inlineStr">
        <is>
          <t>캐빈형 / 파워셔틀 / 프론트로더 장착</t>
        </is>
      </c>
      <c r="F120" s="14" t="inlineStr">
        <is>
          <t>국산(대동·TYM) 또는 수입</t>
        </is>
      </c>
      <c r="G120" s="13" t="inlineStr">
        <is>
          <t>대</t>
        </is>
      </c>
      <c r="H120" s="16" t="n">
        <v>1</v>
      </c>
      <c r="I120" s="13" t="inlineStr">
        <is>
          <t>한국조달</t>
        </is>
      </c>
      <c r="J120" s="14" t="inlineStr">
        <is>
          <t>TMR 배합기(C군 10㎥) 견인 겸용</t>
        </is>
      </c>
      <c r="K120" s="14" t="inlineStr">
        <is>
          <t>★ 원본 '트렉터 대형' 항목 확정</t>
        </is>
      </c>
    </row>
    <row r="121" ht="32" customHeight="1">
      <c r="A121" s="13" t="n">
        <v>117</v>
      </c>
      <c r="B121" s="14" t="inlineStr">
        <is>
          <t>D. 분뇨처리 시스템</t>
        </is>
      </c>
      <c r="C121" s="14" t="inlineStr">
        <is>
          <t>D-8 농기계</t>
        </is>
      </c>
      <c r="D121" s="15" t="inlineStr">
        <is>
          <t>트랙터 소형 55마력 4WD</t>
        </is>
      </c>
      <c r="E121" s="14" t="inlineStr">
        <is>
          <t>축사 내 작업·베딩 정리용</t>
        </is>
      </c>
      <c r="F121" s="14" t="inlineStr">
        <is>
          <t>-</t>
        </is>
      </c>
      <c r="G121" s="13" t="inlineStr">
        <is>
          <t>대</t>
        </is>
      </c>
      <c r="H121" s="16" t="n">
        <v>1</v>
      </c>
      <c r="I121" s="13" t="inlineStr">
        <is>
          <t>한국조달</t>
        </is>
      </c>
      <c r="J121" s="14" t="inlineStr">
        <is>
          <t>축사 통로 진입 가능 규격 / TMR 6㎥ 견인 겸용</t>
        </is>
      </c>
      <c r="K121" s="14" t="inlineStr">
        <is>
          <t>★ 원본 '트렉터 소형' 항목 확정</t>
        </is>
      </c>
    </row>
    <row r="122" ht="32" customHeight="1">
      <c r="A122" s="13" t="n">
        <v>118</v>
      </c>
      <c r="B122" s="14" t="inlineStr">
        <is>
          <t>D. 분뇨처리 시스템</t>
        </is>
      </c>
      <c r="C122" s="14" t="inlineStr">
        <is>
          <t>D-8 농기계</t>
        </is>
      </c>
      <c r="D122" s="15" t="inlineStr">
        <is>
          <t>농기계 부속기(프론트로더·버킷·포크·그래플)</t>
        </is>
      </c>
      <c r="E122" s="14" t="inlineStr">
        <is>
          <t>대형 트랙터 장착 어태치먼트 세트</t>
        </is>
      </c>
      <c r="F122" s="14" t="inlineStr">
        <is>
          <t>-</t>
        </is>
      </c>
      <c r="G122" s="13" t="inlineStr">
        <is>
          <t>식</t>
        </is>
      </c>
      <c r="H122" s="16" t="n">
        <v>1</v>
      </c>
      <c r="I122" s="13" t="inlineStr">
        <is>
          <t>한국조달</t>
        </is>
      </c>
      <c r="J122" s="14" t="inlineStr">
        <is>
          <t>-</t>
        </is>
      </c>
      <c r="K122" s="14" t="inlineStr">
        <is>
          <t>★ 원본 '농기계부속기(로더)' 항목 확정</t>
        </is>
      </c>
    </row>
    <row r="123" ht="32" customHeight="1">
      <c r="A123" s="13" t="n">
        <v>119</v>
      </c>
      <c r="B123" s="14" t="inlineStr">
        <is>
          <t>D. 분뇨처리 시스템</t>
        </is>
      </c>
      <c r="C123" s="14" t="inlineStr">
        <is>
          <t>D-8 농기계</t>
        </is>
      </c>
      <c r="D123" s="15" t="inlineStr">
        <is>
          <t>스키드로더 (분뇨처리 전용)</t>
        </is>
      </c>
      <c r="E123" s="14" t="inlineStr">
        <is>
          <t>정격하중 900kg급 / 협소공간 작업</t>
        </is>
      </c>
      <c r="F123" s="14" t="inlineStr">
        <is>
          <t>Bobcat S66 / 국산 동급</t>
        </is>
      </c>
      <c r="G123" s="13" t="inlineStr">
        <is>
          <t>대</t>
        </is>
      </c>
      <c r="H123" s="16" t="n">
        <v>1</v>
      </c>
      <c r="I123" s="13" t="inlineStr">
        <is>
          <t>한국조달</t>
        </is>
      </c>
      <c r="J123" s="14" t="inlineStr">
        <is>
          <t>축사 통로 폭·천장고 확인</t>
        </is>
      </c>
      <c r="K123" s="17" t="inlineStr">
        <is>
          <t>★★ 회장님 지시항목</t>
        </is>
      </c>
    </row>
    <row r="124" ht="32" customHeight="1">
      <c r="A124" s="13" t="n">
        <v>120</v>
      </c>
      <c r="B124" s="14" t="inlineStr">
        <is>
          <t>D. 분뇨처리 시스템</t>
        </is>
      </c>
      <c r="C124" s="14" t="inlineStr">
        <is>
          <t>D-8 농기계</t>
        </is>
      </c>
      <c r="D124" s="15" t="inlineStr">
        <is>
          <t>스키드로더 어태치먼트 세트</t>
        </is>
      </c>
      <c r="E124" s="14" t="inlineStr">
        <is>
          <t>버킷 / 그래플 / 브룸 / 베딩 살포기</t>
        </is>
      </c>
      <c r="F124" s="14" t="inlineStr">
        <is>
          <t>-</t>
        </is>
      </c>
      <c r="G124" s="13" t="inlineStr">
        <is>
          <t>식</t>
        </is>
      </c>
      <c r="H124" s="16" t="n">
        <v>1</v>
      </c>
      <c r="I124" s="13" t="inlineStr">
        <is>
          <t>한국조달</t>
        </is>
      </c>
      <c r="J124" s="14" t="inlineStr">
        <is>
          <t>-</t>
        </is>
      </c>
      <c r="K124" s="14" t="inlineStr">
        <is>
          <t>-</t>
        </is>
      </c>
    </row>
    <row r="125" ht="32" customHeight="1">
      <c r="A125" s="13" t="n">
        <v>121</v>
      </c>
      <c r="B125" s="14" t="inlineStr">
        <is>
          <t>D. 분뇨처리 시스템</t>
        </is>
      </c>
      <c r="C125" s="14" t="inlineStr">
        <is>
          <t>D-8 농기계</t>
        </is>
      </c>
      <c r="D125" s="15" t="inlineStr">
        <is>
          <t>지게차 2톤 (디젤)</t>
        </is>
      </c>
      <c r="E125" s="14" t="inlineStr">
        <is>
          <t>사료·퇴비 포장물 상하차</t>
        </is>
      </c>
      <c r="F125" s="14" t="inlineStr">
        <is>
          <t>-</t>
        </is>
      </c>
      <c r="G125" s="13" t="inlineStr">
        <is>
          <t>대</t>
        </is>
      </c>
      <c r="H125" s="16" t="n">
        <v>1</v>
      </c>
      <c r="I125" s="13" t="inlineStr">
        <is>
          <t>한국조달</t>
        </is>
      </c>
      <c r="J125" s="14" t="inlineStr">
        <is>
          <t>-</t>
        </is>
      </c>
      <c r="K125" s="14" t="inlineStr">
        <is>
          <t>★ 원본 '지게차(2톤)' 항목 반영</t>
        </is>
      </c>
    </row>
    <row r="126" ht="32" customHeight="1">
      <c r="A126" s="13" t="n">
        <v>122</v>
      </c>
      <c r="B126" s="14" t="inlineStr">
        <is>
          <t>D. 분뇨처리 시스템</t>
        </is>
      </c>
      <c r="C126" s="14" t="inlineStr">
        <is>
          <t>D-8 농기계</t>
        </is>
      </c>
      <c r="D126" s="15" t="inlineStr">
        <is>
          <t>농기계 정비 공구 세트·용접기</t>
        </is>
      </c>
      <c r="E126" s="14" t="inlineStr">
        <is>
          <t>-</t>
        </is>
      </c>
      <c r="F126" s="14" t="inlineStr">
        <is>
          <t>-</t>
        </is>
      </c>
      <c r="G126" s="13" t="inlineStr">
        <is>
          <t>식</t>
        </is>
      </c>
      <c r="H126" s="16" t="n">
        <v>1</v>
      </c>
      <c r="I126" s="13" t="inlineStr">
        <is>
          <t>한국조달</t>
        </is>
      </c>
      <c r="J126" s="14" t="inlineStr">
        <is>
          <t>정비고 배치</t>
        </is>
      </c>
      <c r="K126" s="14" t="inlineStr">
        <is>
          <t>-</t>
        </is>
      </c>
    </row>
    <row r="127" ht="32" customHeight="1">
      <c r="A127" s="13" t="n">
        <v>123</v>
      </c>
      <c r="B127" s="14" t="inlineStr">
        <is>
          <t>D. 분뇨처리 시스템</t>
        </is>
      </c>
      <c r="C127" s="14" t="inlineStr">
        <is>
          <t>D-9 예비부품</t>
        </is>
      </c>
      <c r="D127" s="15" t="inlineStr">
        <is>
          <t>분뇨처리설비·농기계 예비부품</t>
        </is>
      </c>
      <c r="E127" s="14" t="inlineStr">
        <is>
          <t>스크류·베어링·송풍기·필터·오일 / 2년 소요량</t>
        </is>
      </c>
      <c r="F127" s="14" t="inlineStr">
        <is>
          <t>-</t>
        </is>
      </c>
      <c r="G127" s="13" t="inlineStr">
        <is>
          <t>식</t>
        </is>
      </c>
      <c r="H127" s="16" t="n">
        <v>1</v>
      </c>
      <c r="I127" s="13" t="inlineStr">
        <is>
          <t>한국+현지</t>
        </is>
      </c>
      <c r="J127" s="14" t="inlineStr">
        <is>
          <t>-</t>
        </is>
      </c>
      <c r="K127" s="14" t="inlineStr">
        <is>
          <t>★ 원본 누락</t>
        </is>
      </c>
    </row>
    <row r="128" ht="32" customHeight="1">
      <c r="A128" s="7" t="n">
        <v>124</v>
      </c>
      <c r="B128" s="8" t="inlineStr">
        <is>
          <t>E. 번식관리(A.I.·ET)</t>
        </is>
      </c>
      <c r="C128" s="8" t="inlineStr">
        <is>
          <t>E-1 인공수정 기구</t>
        </is>
      </c>
      <c r="D128" s="9" t="inlineStr">
        <is>
          <t>소주입기 (국산, 버튼식)</t>
        </is>
      </c>
      <c r="E128" s="8" t="inlineStr">
        <is>
          <t>국산 버튼식</t>
        </is>
      </c>
      <c r="F128" s="8" t="inlineStr">
        <is>
          <t>국산 (버튼식)</t>
        </is>
      </c>
      <c r="G128" s="7" t="inlineStr">
        <is>
          <t>개</t>
        </is>
      </c>
      <c r="H128" s="10" t="n">
        <v>5</v>
      </c>
      <c r="I128" s="7" t="inlineStr">
        <is>
          <t>한국조달</t>
        </is>
      </c>
      <c r="J128" s="8" t="inlineStr">
        <is>
          <t>-</t>
        </is>
      </c>
      <c r="K128" s="8" t="inlineStr">
        <is>
          <t>★ 원본 반영. 수정사 2인 + 예비 기준 최소수량</t>
        </is>
      </c>
    </row>
    <row r="129" ht="32" customHeight="1">
      <c r="A129" s="7" t="n">
        <v>125</v>
      </c>
      <c r="B129" s="8" t="inlineStr">
        <is>
          <t>E. 번식관리(A.I.·ET)</t>
        </is>
      </c>
      <c r="C129" s="8" t="inlineStr">
        <is>
          <t>E-1 인공수정 기구</t>
        </is>
      </c>
      <c r="D129" s="9" t="inlineStr">
        <is>
          <t>소주입기 (Quick Lock Classic)</t>
        </is>
      </c>
      <c r="E129" s="8" t="inlineStr">
        <is>
          <t>독일 Minitube 社 제품</t>
        </is>
      </c>
      <c r="F129" s="8" t="inlineStr">
        <is>
          <t>Minitube Quick Lock Classic</t>
        </is>
      </c>
      <c r="G129" s="7" t="inlineStr">
        <is>
          <t>개</t>
        </is>
      </c>
      <c r="H129" s="10" t="n">
        <v>3</v>
      </c>
      <c r="I129" s="7" t="inlineStr">
        <is>
          <t>한국조달</t>
        </is>
      </c>
      <c r="J129" s="8" t="inlineStr">
        <is>
          <t>-</t>
        </is>
      </c>
      <c r="K129" s="8" t="inlineStr">
        <is>
          <t>★ 원본 반영. 최소수량</t>
        </is>
      </c>
    </row>
    <row r="130" ht="32" customHeight="1">
      <c r="A130" s="7" t="n">
        <v>126</v>
      </c>
      <c r="B130" s="8" t="inlineStr">
        <is>
          <t>E. 번식관리(A.I.·ET)</t>
        </is>
      </c>
      <c r="C130" s="8" t="inlineStr">
        <is>
          <t>E-1 인공수정 기구</t>
        </is>
      </c>
      <c r="D130" s="9" t="inlineStr">
        <is>
          <t>소주입기 (Quick Lock 2000)</t>
        </is>
      </c>
      <c r="E130" s="8" t="inlineStr">
        <is>
          <t>독일 Minitube 社 제품</t>
        </is>
      </c>
      <c r="F130" s="8" t="inlineStr">
        <is>
          <t>Minitube Quick Lock 2000</t>
        </is>
      </c>
      <c r="G130" s="7" t="inlineStr">
        <is>
          <t>개</t>
        </is>
      </c>
      <c r="H130" s="10" t="n">
        <v>2</v>
      </c>
      <c r="I130" s="7" t="inlineStr">
        <is>
          <t>한국조달</t>
        </is>
      </c>
      <c r="J130" s="8" t="inlineStr">
        <is>
          <t>-</t>
        </is>
      </c>
      <c r="K130" s="8" t="inlineStr">
        <is>
          <t>★ 원본 반영 (원본 '수주입기' 오기 정정)</t>
        </is>
      </c>
    </row>
    <row r="131" ht="32" customHeight="1">
      <c r="A131" s="7" t="n">
        <v>127</v>
      </c>
      <c r="B131" s="8" t="inlineStr">
        <is>
          <t>E. 번식관리(A.I.·ET)</t>
        </is>
      </c>
      <c r="C131" s="8" t="inlineStr">
        <is>
          <t>E-1 인공수정 기구</t>
        </is>
      </c>
      <c r="D131" s="9" t="inlineStr">
        <is>
          <t>스트로 융해기(해동기)</t>
        </is>
      </c>
      <c r="E131" s="8" t="inlineStr">
        <is>
          <t>37℃ 정밀 항온 / 규격서 별첨</t>
        </is>
      </c>
      <c r="F131" s="8" t="inlineStr">
        <is>
          <t>-</t>
        </is>
      </c>
      <c r="G131" s="7" t="inlineStr">
        <is>
          <t>대</t>
        </is>
      </c>
      <c r="H131" s="10" t="n">
        <v>2</v>
      </c>
      <c r="I131" s="7" t="inlineStr">
        <is>
          <t>한국조달</t>
        </is>
      </c>
      <c r="J131" s="8" t="inlineStr">
        <is>
          <t>-</t>
        </is>
      </c>
      <c r="K131" s="8" t="inlineStr">
        <is>
          <t>★ 원본 반영. 현장 1 + 예비 1</t>
        </is>
      </c>
    </row>
    <row r="132" ht="32" customHeight="1">
      <c r="A132" s="7" t="n">
        <v>128</v>
      </c>
      <c r="B132" s="8" t="inlineStr">
        <is>
          <t>E. 번식관리(A.I.·ET)</t>
        </is>
      </c>
      <c r="C132" s="8" t="inlineStr">
        <is>
          <t>E-1 인공수정 기구</t>
        </is>
      </c>
      <c r="D132" s="9" t="inlineStr">
        <is>
          <t>스트로 커터기</t>
        </is>
      </c>
      <c r="E132" s="8" t="inlineStr">
        <is>
          <t>독일 Minitube 社 제품</t>
        </is>
      </c>
      <c r="F132" s="8" t="inlineStr">
        <is>
          <t>Minitube</t>
        </is>
      </c>
      <c r="G132" s="7" t="inlineStr">
        <is>
          <t>개</t>
        </is>
      </c>
      <c r="H132" s="10" t="n">
        <v>2</v>
      </c>
      <c r="I132" s="7" t="inlineStr">
        <is>
          <t>한국조달</t>
        </is>
      </c>
      <c r="J132" s="8" t="inlineStr">
        <is>
          <t>-</t>
        </is>
      </c>
      <c r="K132" s="8" t="inlineStr">
        <is>
          <t>★ 원본 반영</t>
        </is>
      </c>
    </row>
    <row r="133" ht="32" customHeight="1">
      <c r="A133" s="7" t="n">
        <v>129</v>
      </c>
      <c r="B133" s="8" t="inlineStr">
        <is>
          <t>E. 번식관리(A.I.·ET)</t>
        </is>
      </c>
      <c r="C133" s="8" t="inlineStr">
        <is>
          <t>E-1 인공수정 기구</t>
        </is>
      </c>
      <c r="D133" s="9" t="inlineStr">
        <is>
          <t>A.I. 히팅백(정액 보온백)</t>
        </is>
      </c>
      <c r="E133" s="8" t="inlineStr">
        <is>
          <t>현장 이동용 보온</t>
        </is>
      </c>
      <c r="F133" s="8" t="inlineStr">
        <is>
          <t>-</t>
        </is>
      </c>
      <c r="G133" s="7" t="inlineStr">
        <is>
          <t>개</t>
        </is>
      </c>
      <c r="H133" s="10" t="n">
        <v>5</v>
      </c>
      <c r="I133" s="7" t="inlineStr">
        <is>
          <t>한국조달</t>
        </is>
      </c>
      <c r="J133" s="8" t="inlineStr">
        <is>
          <t>-</t>
        </is>
      </c>
      <c r="K133" s="8" t="inlineStr">
        <is>
          <t>★ 원본 반영</t>
        </is>
      </c>
    </row>
    <row r="134" ht="32" customHeight="1">
      <c r="A134" s="7" t="n">
        <v>130</v>
      </c>
      <c r="B134" s="8" t="inlineStr">
        <is>
          <t>E. 번식관리(A.I.·ET)</t>
        </is>
      </c>
      <c r="C134" s="8" t="inlineStr">
        <is>
          <t>E-2 소모품</t>
        </is>
      </c>
      <c r="D134" s="9" t="inlineStr">
        <is>
          <t>시스 (Sheath)</t>
        </is>
      </c>
      <c r="E134" s="8" t="inlineStr">
        <is>
          <t>1box / 1,000개</t>
        </is>
      </c>
      <c r="F134" s="8" t="inlineStr">
        <is>
          <t>-</t>
        </is>
      </c>
      <c r="G134" s="7" t="inlineStr">
        <is>
          <t>box</t>
        </is>
      </c>
      <c r="H134" s="10" t="n">
        <v>3</v>
      </c>
      <c r="I134" s="7" t="inlineStr">
        <is>
          <t>한국조달</t>
        </is>
      </c>
      <c r="J134" s="8" t="inlineStr">
        <is>
          <t>-</t>
        </is>
      </c>
      <c r="K134" s="8" t="inlineStr">
        <is>
          <t>★ 원본 반영. 3년 소요량(연 250~300회 수정 기준)</t>
        </is>
      </c>
    </row>
    <row r="135" ht="32" customHeight="1">
      <c r="A135" s="7" t="n">
        <v>131</v>
      </c>
      <c r="B135" s="8" t="inlineStr">
        <is>
          <t>E. 번식관리(A.I.·ET)</t>
        </is>
      </c>
      <c r="C135" s="8" t="inlineStr">
        <is>
          <t>E-2 소모품</t>
        </is>
      </c>
      <c r="D135" s="9" t="inlineStr">
        <is>
          <t>슬리브</t>
        </is>
      </c>
      <c r="E135" s="8" t="inlineStr">
        <is>
          <t>독일 Minitube 社 제품</t>
        </is>
      </c>
      <c r="F135" s="8" t="inlineStr">
        <is>
          <t>Minitube</t>
        </is>
      </c>
      <c r="G135" s="7" t="inlineStr">
        <is>
          <t>box</t>
        </is>
      </c>
      <c r="H135" s="10" t="n">
        <v>5</v>
      </c>
      <c r="I135" s="7" t="inlineStr">
        <is>
          <t>한국조달</t>
        </is>
      </c>
      <c r="J135" s="8" t="inlineStr">
        <is>
          <t>-</t>
        </is>
      </c>
      <c r="K135" s="8" t="inlineStr">
        <is>
          <t>★ 원본 반영</t>
        </is>
      </c>
    </row>
    <row r="136" ht="32" customHeight="1">
      <c r="A136" s="7" t="n">
        <v>132</v>
      </c>
      <c r="B136" s="8" t="inlineStr">
        <is>
          <t>E. 번식관리(A.I.·ET)</t>
        </is>
      </c>
      <c r="C136" s="8" t="inlineStr">
        <is>
          <t>E-2 소모품</t>
        </is>
      </c>
      <c r="D136" s="9" t="inlineStr">
        <is>
          <t>직장검사용 장갑 (보급형)</t>
        </is>
      </c>
      <c r="E136" s="8" t="inlineStr">
        <is>
          <t>1box / 100매</t>
        </is>
      </c>
      <c r="F136" s="8" t="inlineStr">
        <is>
          <t>-</t>
        </is>
      </c>
      <c r="G136" s="7" t="inlineStr">
        <is>
          <t>box</t>
        </is>
      </c>
      <c r="H136" s="10" t="n">
        <v>30</v>
      </c>
      <c r="I136" s="7" t="inlineStr">
        <is>
          <t>한국조달</t>
        </is>
      </c>
      <c r="J136" s="8" t="inlineStr">
        <is>
          <t>-</t>
        </is>
      </c>
      <c r="K136" s="8" t="inlineStr">
        <is>
          <t>★ 원본 반영. 3년 소요량</t>
        </is>
      </c>
    </row>
    <row r="137" ht="32" customHeight="1">
      <c r="A137" s="7" t="n">
        <v>133</v>
      </c>
      <c r="B137" s="8" t="inlineStr">
        <is>
          <t>E. 번식관리(A.I.·ET)</t>
        </is>
      </c>
      <c r="C137" s="8" t="inlineStr">
        <is>
          <t>E-2 소모품</t>
        </is>
      </c>
      <c r="D137" s="9" t="inlineStr">
        <is>
          <t>직장검사용 장갑 (고급형)</t>
        </is>
      </c>
      <c r="E137" s="8" t="inlineStr">
        <is>
          <t>1box / 100매</t>
        </is>
      </c>
      <c r="F137" s="8" t="inlineStr">
        <is>
          <t>-</t>
        </is>
      </c>
      <c r="G137" s="7" t="inlineStr">
        <is>
          <t>box</t>
        </is>
      </c>
      <c r="H137" s="10" t="n">
        <v>10</v>
      </c>
      <c r="I137" s="7" t="inlineStr">
        <is>
          <t>한국조달</t>
        </is>
      </c>
      <c r="J137" s="8" t="inlineStr">
        <is>
          <t>-</t>
        </is>
      </c>
      <c r="K137" s="8" t="inlineStr">
        <is>
          <t>★ 원본 반영. 수정·이식 시술용</t>
        </is>
      </c>
    </row>
    <row r="138" ht="32" customHeight="1">
      <c r="A138" s="7" t="n">
        <v>134</v>
      </c>
      <c r="B138" s="8" t="inlineStr">
        <is>
          <t>E. 번식관리(A.I.·ET)</t>
        </is>
      </c>
      <c r="C138" s="8" t="inlineStr">
        <is>
          <t>E-3 액체질소</t>
        </is>
      </c>
      <c r="D138" s="9" t="inlineStr">
        <is>
          <t>액체 질소통 20ℓ</t>
        </is>
      </c>
      <c r="E138" s="8" t="inlineStr">
        <is>
          <t>미국 MVE / 20ℓ</t>
        </is>
      </c>
      <c r="F138" s="8" t="inlineStr">
        <is>
          <t>MVE</t>
        </is>
      </c>
      <c r="G138" s="7" t="inlineStr">
        <is>
          <t>대</t>
        </is>
      </c>
      <c r="H138" s="10" t="n">
        <v>3</v>
      </c>
      <c r="I138" s="7" t="inlineStr">
        <is>
          <t>한국조달</t>
        </is>
      </c>
      <c r="J138" s="8" t="inlineStr">
        <is>
          <t>현장 이동·수정사 휴대용</t>
        </is>
      </c>
      <c r="K138" s="8" t="inlineStr">
        <is>
          <t>★ 원본 반영</t>
        </is>
      </c>
    </row>
    <row r="139" ht="32" customHeight="1">
      <c r="A139" s="7" t="n">
        <v>135</v>
      </c>
      <c r="B139" s="8" t="inlineStr">
        <is>
          <t>E. 번식관리(A.I.·ET)</t>
        </is>
      </c>
      <c r="C139" s="8" t="inlineStr">
        <is>
          <t>E-3 액체질소</t>
        </is>
      </c>
      <c r="D139" s="9" t="inlineStr">
        <is>
          <t>액체 질소통 34ℓ</t>
        </is>
      </c>
      <c r="E139" s="8" t="inlineStr">
        <is>
          <t>미국 MVE / 34ℓ</t>
        </is>
      </c>
      <c r="F139" s="8" t="inlineStr">
        <is>
          <t>MVE</t>
        </is>
      </c>
      <c r="G139" s="7" t="inlineStr">
        <is>
          <t>대</t>
        </is>
      </c>
      <c r="H139" s="10" t="n">
        <v>2</v>
      </c>
      <c r="I139" s="7" t="inlineStr">
        <is>
          <t>한국조달</t>
        </is>
      </c>
      <c r="J139" s="8" t="inlineStr">
        <is>
          <t>-</t>
        </is>
      </c>
      <c r="K139" s="8" t="inlineStr">
        <is>
          <t>★ 원본 반영</t>
        </is>
      </c>
    </row>
    <row r="140" ht="32" customHeight="1">
      <c r="A140" s="7" t="n">
        <v>136</v>
      </c>
      <c r="B140" s="8" t="inlineStr">
        <is>
          <t>E. 번식관리(A.I.·ET)</t>
        </is>
      </c>
      <c r="C140" s="8" t="inlineStr">
        <is>
          <t>E-3 액체질소</t>
        </is>
      </c>
      <c r="D140" s="9" t="inlineStr">
        <is>
          <t>액체 질소통 47ℓ</t>
        </is>
      </c>
      <c r="E140" s="8" t="inlineStr">
        <is>
          <t>미국 MVE / 47ℓ</t>
        </is>
      </c>
      <c r="F140" s="8" t="inlineStr">
        <is>
          <t>MVE</t>
        </is>
      </c>
      <c r="G140" s="7" t="inlineStr">
        <is>
          <t>대</t>
        </is>
      </c>
      <c r="H140" s="10" t="n">
        <v>2</v>
      </c>
      <c r="I140" s="7" t="inlineStr">
        <is>
          <t>한국조달</t>
        </is>
      </c>
      <c r="J140" s="8" t="inlineStr">
        <is>
          <t>목장 상시 보관용</t>
        </is>
      </c>
      <c r="K140" s="8" t="inlineStr">
        <is>
          <t>★ 원본 반영</t>
        </is>
      </c>
    </row>
    <row r="141" ht="32" customHeight="1">
      <c r="A141" s="7" t="n">
        <v>137</v>
      </c>
      <c r="B141" s="8" t="inlineStr">
        <is>
          <t>E. 번식관리(A.I.·ET)</t>
        </is>
      </c>
      <c r="C141" s="8" t="inlineStr">
        <is>
          <t>E-3 액체질소</t>
        </is>
      </c>
      <c r="D141" s="9" t="inlineStr">
        <is>
          <t>대용량 LN2 정액·수정란 보관 탱크</t>
        </is>
      </c>
      <c r="E141" s="8" t="inlineStr">
        <is>
          <t>MVE XC-47 급</t>
        </is>
      </c>
      <c r="F141" s="8" t="inlineStr">
        <is>
          <t>MVE XC-47</t>
        </is>
      </c>
      <c r="G141" s="7" t="inlineStr">
        <is>
          <t>대</t>
        </is>
      </c>
      <c r="H141" s="10" t="n">
        <v>1</v>
      </c>
      <c r="I141" s="7" t="inlineStr">
        <is>
          <t>한국조달</t>
        </is>
      </c>
      <c r="J141" s="8" t="inlineStr">
        <is>
          <t>번식 작업실 내 고정 설치</t>
        </is>
      </c>
      <c r="K141" s="8" t="inlineStr">
        <is>
          <t>장기 보관용</t>
        </is>
      </c>
    </row>
    <row r="142" ht="32" customHeight="1">
      <c r="A142" s="7" t="n">
        <v>138</v>
      </c>
      <c r="B142" s="8" t="inlineStr">
        <is>
          <t>E. 번식관리(A.I.·ET)</t>
        </is>
      </c>
      <c r="C142" s="8" t="inlineStr">
        <is>
          <t>E-3 액체질소</t>
        </is>
      </c>
      <c r="D142" s="9" t="inlineStr">
        <is>
          <t>캐니스터·고블렛·바이저튜브·스트로 정리구</t>
        </is>
      </c>
      <c r="E142" s="8" t="inlineStr">
        <is>
          <t>보관 탱크 부속 일체</t>
        </is>
      </c>
      <c r="F142" s="8" t="inlineStr">
        <is>
          <t>-</t>
        </is>
      </c>
      <c r="G142" s="7" t="inlineStr">
        <is>
          <t>식</t>
        </is>
      </c>
      <c r="H142" s="10" t="n">
        <v>1</v>
      </c>
      <c r="I142" s="7" t="inlineStr">
        <is>
          <t>한국조달</t>
        </is>
      </c>
      <c r="J142" s="8" t="inlineStr">
        <is>
          <t>-</t>
        </is>
      </c>
      <c r="K142" s="8" t="inlineStr">
        <is>
          <t>★ 원본 누락. 없으면 스트로 식별·인출이 불가</t>
        </is>
      </c>
    </row>
    <row r="143" ht="32" customHeight="1">
      <c r="A143" s="7" t="n">
        <v>139</v>
      </c>
      <c r="B143" s="8" t="inlineStr">
        <is>
          <t>E. 번식관리(A.I.·ET)</t>
        </is>
      </c>
      <c r="C143" s="8" t="inlineStr">
        <is>
          <t>E-3 액체질소</t>
        </is>
      </c>
      <c r="D143" s="9" t="inlineStr">
        <is>
          <t>액체질소 초기 충전 및 3년 정기공급</t>
        </is>
      </c>
      <c r="E143" s="8" t="inlineStr">
        <is>
          <t>4~8주 주기 재충전 / 3년 공급계약</t>
        </is>
      </c>
      <c r="F143" s="8" t="inlineStr">
        <is>
          <t>-</t>
        </is>
      </c>
      <c r="G143" s="7" t="inlineStr">
        <is>
          <t>식</t>
        </is>
      </c>
      <c r="H143" s="10" t="n">
        <v>1</v>
      </c>
      <c r="I143" s="7" t="inlineStr">
        <is>
          <t>현지조달</t>
        </is>
      </c>
      <c r="J143" s="8" t="inlineStr">
        <is>
          <t>현지 LN2 공급업체 3년 계약 + 비상 대체공급원 확보</t>
        </is>
      </c>
      <c r="K143" s="12" t="inlineStr">
        <is>
          <t>▲▲ 질소발생기 미도입 결정에 따라 이 항목이 유전자원 보존의 단일 의존점. 공급계약 확보를 착수 전제조건으로 명시할 것</t>
        </is>
      </c>
    </row>
    <row r="144" ht="32" customHeight="1">
      <c r="A144" s="7" t="n">
        <v>140</v>
      </c>
      <c r="B144" s="8" t="inlineStr">
        <is>
          <t>E. 번식관리(A.I.·ET)</t>
        </is>
      </c>
      <c r="C144" s="8" t="inlineStr">
        <is>
          <t>E-4 번식진단</t>
        </is>
      </c>
      <c r="D144" s="9" t="inlineStr">
        <is>
          <t>초음파 진단기 MyLab One Vet</t>
        </is>
      </c>
      <c r="E144" s="8" t="inlineStr">
        <is>
          <t>소·돼지·말 등 가축번식 진단용</t>
        </is>
      </c>
      <c r="F144" s="8" t="inlineStr">
        <is>
          <t>Esaote MyLab One Vet</t>
        </is>
      </c>
      <c r="G144" s="7" t="inlineStr">
        <is>
          <t>대</t>
        </is>
      </c>
      <c r="H144" s="10" t="n">
        <v>1</v>
      </c>
      <c r="I144" s="7" t="inlineStr">
        <is>
          <t>한국조달</t>
        </is>
      </c>
      <c r="J144" s="8" t="inlineStr">
        <is>
          <t>-</t>
        </is>
      </c>
      <c r="K144" s="8" t="inlineStr">
        <is>
          <t>★ 원본 반영. 번식진단 주력기</t>
        </is>
      </c>
    </row>
    <row r="145" ht="32" customHeight="1">
      <c r="A145" s="7" t="n">
        <v>141</v>
      </c>
      <c r="B145" s="8" t="inlineStr">
        <is>
          <t>E. 번식관리(A.I.·ET)</t>
        </is>
      </c>
      <c r="C145" s="8" t="inlineStr">
        <is>
          <t>E-4 번식진단</t>
        </is>
      </c>
      <c r="D145" s="9" t="inlineStr">
        <is>
          <t>대가축 임신진단기 Tringa Linear</t>
        </is>
      </c>
      <c r="E145" s="8" t="inlineStr">
        <is>
          <t>대가축 임신 진단기</t>
        </is>
      </c>
      <c r="F145" s="8" t="inlineStr">
        <is>
          <t>Esaote Tringa Linear</t>
        </is>
      </c>
      <c r="G145" s="7" t="inlineStr">
        <is>
          <t>대</t>
        </is>
      </c>
      <c r="H145" s="10" t="n">
        <v>2</v>
      </c>
      <c r="I145" s="7" t="inlineStr">
        <is>
          <t>한국조달</t>
        </is>
      </c>
      <c r="J145" s="8" t="inlineStr">
        <is>
          <t>-</t>
        </is>
      </c>
      <c r="K145" s="8" t="inlineStr">
        <is>
          <t>★ 원본 반영. 현장 보급형 + 현지 수의사 교육용</t>
        </is>
      </c>
    </row>
    <row r="146" ht="32" customHeight="1">
      <c r="A146" s="7" t="n">
        <v>142</v>
      </c>
      <c r="B146" s="8" t="inlineStr">
        <is>
          <t>E. 번식관리(A.I.·ET)</t>
        </is>
      </c>
      <c r="C146" s="8" t="inlineStr">
        <is>
          <t>E-4 번식진단</t>
        </is>
      </c>
      <c r="D146" s="9" t="inlineStr">
        <is>
          <t>이식용 경직장 초음파 (무선)</t>
        </is>
      </c>
      <c r="E146" s="8" t="inlineStr">
        <is>
          <t>수란우 황체 확인용</t>
        </is>
      </c>
      <c r="F146" s="8" t="inlineStr">
        <is>
          <t>-</t>
        </is>
      </c>
      <c r="G146" s="7" t="inlineStr">
        <is>
          <t>대</t>
        </is>
      </c>
      <c r="H146" s="10" t="n">
        <v>2</v>
      </c>
      <c r="I146" s="7" t="inlineStr">
        <is>
          <t>한국조달</t>
        </is>
      </c>
      <c r="J146" s="8" t="inlineStr">
        <is>
          <t>-</t>
        </is>
      </c>
      <c r="K146" s="8" t="inlineStr">
        <is>
          <t>수란우 선발 정확도 = 수태율 직결</t>
        </is>
      </c>
    </row>
    <row r="147" ht="32" customHeight="1">
      <c r="A147" s="7" t="n">
        <v>143</v>
      </c>
      <c r="B147" s="8" t="inlineStr">
        <is>
          <t>E. 번식관리(A.I.·ET)</t>
        </is>
      </c>
      <c r="C147" s="8" t="inlineStr">
        <is>
          <t>E-5 수정란이식</t>
        </is>
      </c>
      <c r="D147" s="9" t="inlineStr">
        <is>
          <t>소 수정란 주입기 (ET Gun)</t>
        </is>
      </c>
      <c r="E147" s="8" t="inlineStr">
        <is>
          <t>독일 Minitube 社 제품</t>
        </is>
      </c>
      <c r="F147" s="8" t="inlineStr">
        <is>
          <t>Minitube ET Gun</t>
        </is>
      </c>
      <c r="G147" s="7" t="inlineStr">
        <is>
          <t>개</t>
        </is>
      </c>
      <c r="H147" s="10" t="n">
        <v>8</v>
      </c>
      <c r="I147" s="7" t="inlineStr">
        <is>
          <t>한국조달</t>
        </is>
      </c>
      <c r="J147" s="8" t="inlineStr">
        <is>
          <t>-</t>
        </is>
      </c>
      <c r="K147" s="8" t="inlineStr">
        <is>
          <t>★ 원본 '소수정란주입기' 반영</t>
        </is>
      </c>
    </row>
    <row r="148" ht="32" customHeight="1">
      <c r="A148" s="7" t="n">
        <v>144</v>
      </c>
      <c r="B148" s="8" t="inlineStr">
        <is>
          <t>E. 번식관리(A.I.·ET)</t>
        </is>
      </c>
      <c r="C148" s="8" t="inlineStr">
        <is>
          <t>E-5 수정란이식</t>
        </is>
      </c>
      <c r="D148" s="9" t="inlineStr">
        <is>
          <t>소 수정란 시스 (ET Sheath)</t>
        </is>
      </c>
      <c r="E148" s="8" t="inlineStr">
        <is>
          <t>독일 Minitube 社 제품 / 1box</t>
        </is>
      </c>
      <c r="F148" s="8" t="inlineStr">
        <is>
          <t>Minitube</t>
        </is>
      </c>
      <c r="G148" s="7" t="inlineStr">
        <is>
          <t>box</t>
        </is>
      </c>
      <c r="H148" s="10" t="n">
        <v>8</v>
      </c>
      <c r="I148" s="7" t="inlineStr">
        <is>
          <t>한국조달</t>
        </is>
      </c>
      <c r="J148" s="8" t="inlineStr">
        <is>
          <t>-</t>
        </is>
      </c>
      <c r="K148" s="8" t="inlineStr">
        <is>
          <t>★ 원본 '소수정란시스' 반영</t>
        </is>
      </c>
    </row>
    <row r="149" ht="32" customHeight="1">
      <c r="A149" s="7" t="n">
        <v>145</v>
      </c>
      <c r="B149" s="8" t="inlineStr">
        <is>
          <t>E. 번식관리(A.I.·ET)</t>
        </is>
      </c>
      <c r="C149" s="8" t="inlineStr">
        <is>
          <t>E-5 수정란이식</t>
        </is>
      </c>
      <c r="D149" s="9" t="inlineStr">
        <is>
          <t>채란기 (Flushing Catheter, Foley 2/3-way) 세트</t>
        </is>
      </c>
      <c r="E149" s="8" t="inlineStr">
        <is>
          <t>체내수정란 채란용</t>
        </is>
      </c>
      <c r="F149" s="8" t="inlineStr">
        <is>
          <t>Minitube / IMV</t>
        </is>
      </c>
      <c r="G149" s="7" t="inlineStr">
        <is>
          <t>세트</t>
        </is>
      </c>
      <c r="H149" s="10" t="n">
        <v>3</v>
      </c>
      <c r="I149" s="7" t="inlineStr">
        <is>
          <t>한국조달</t>
        </is>
      </c>
      <c r="J149" s="8" t="inlineStr">
        <is>
          <t>-</t>
        </is>
      </c>
      <c r="K149" s="8" t="inlineStr">
        <is>
          <t>★ 원본 '채란기' 항목 확정</t>
        </is>
      </c>
    </row>
    <row r="150" ht="32" customHeight="1">
      <c r="A150" s="7" t="n">
        <v>146</v>
      </c>
      <c r="B150" s="8" t="inlineStr">
        <is>
          <t>E. 번식관리(A.I.·ET)</t>
        </is>
      </c>
      <c r="C150" s="8" t="inlineStr">
        <is>
          <t>E-5 수정란이식</t>
        </is>
      </c>
      <c r="D150" s="9" t="inlineStr">
        <is>
          <t>채란용 필터 (EmCon Filter)</t>
        </is>
      </c>
      <c r="E150" s="8" t="inlineStr">
        <is>
          <t>1box / 20개</t>
        </is>
      </c>
      <c r="F150" s="8" t="inlineStr">
        <is>
          <t>EmCon</t>
        </is>
      </c>
      <c r="G150" s="7" t="inlineStr">
        <is>
          <t>box</t>
        </is>
      </c>
      <c r="H150" s="10" t="n">
        <v>6</v>
      </c>
      <c r="I150" s="7" t="inlineStr">
        <is>
          <t>한국조달</t>
        </is>
      </c>
      <c r="J150" s="8" t="inlineStr">
        <is>
          <t>-</t>
        </is>
      </c>
      <c r="K150" s="8" t="inlineStr">
        <is>
          <t>★ 원본 '?' 항목 보완</t>
        </is>
      </c>
    </row>
    <row r="151" ht="32" customHeight="1">
      <c r="A151" s="7" t="n">
        <v>147</v>
      </c>
      <c r="B151" s="8" t="inlineStr">
        <is>
          <t>E. 번식관리(A.I.·ET)</t>
        </is>
      </c>
      <c r="C151" s="8" t="inlineStr">
        <is>
          <t>E-5 수정란이식</t>
        </is>
      </c>
      <c r="D151" s="9" t="inlineStr">
        <is>
          <t>채란 회수액·수정란 배지</t>
        </is>
      </c>
      <c r="E151" s="8" t="inlineStr">
        <is>
          <t>Vigro / EmCare 계열 / 1년 소요량</t>
        </is>
      </c>
      <c r="F151" s="8" t="inlineStr">
        <is>
          <t>-</t>
        </is>
      </c>
      <c r="G151" s="7" t="inlineStr">
        <is>
          <t>식</t>
        </is>
      </c>
      <c r="H151" s="10" t="n">
        <v>1</v>
      </c>
      <c r="I151" s="7" t="inlineStr">
        <is>
          <t>한국조달</t>
        </is>
      </c>
      <c r="J151" s="8" t="inlineStr">
        <is>
          <t>냉장 보관·유효기간 관리</t>
        </is>
      </c>
      <c r="K151" s="8" t="inlineStr">
        <is>
          <t>★ 원본 '?' 항목 보완</t>
        </is>
      </c>
    </row>
    <row r="152" ht="32" customHeight="1">
      <c r="A152" s="7" t="n">
        <v>148</v>
      </c>
      <c r="B152" s="8" t="inlineStr">
        <is>
          <t>E. 번식관리(A.I.·ET)</t>
        </is>
      </c>
      <c r="C152" s="8" t="inlineStr">
        <is>
          <t>E-5 수정란이식</t>
        </is>
      </c>
      <c r="D152" s="9" t="inlineStr">
        <is>
          <t>채란용 실리콘 튜브·Y커넥터·주입세트</t>
        </is>
      </c>
      <c r="E152" s="8" t="inlineStr">
        <is>
          <t>-</t>
        </is>
      </c>
      <c r="F152" s="8" t="inlineStr">
        <is>
          <t>-</t>
        </is>
      </c>
      <c r="G152" s="7" t="inlineStr">
        <is>
          <t>식</t>
        </is>
      </c>
      <c r="H152" s="10" t="n">
        <v>1</v>
      </c>
      <c r="I152" s="7" t="inlineStr">
        <is>
          <t>한국조달</t>
        </is>
      </c>
      <c r="J152" s="8" t="inlineStr">
        <is>
          <t>-</t>
        </is>
      </c>
      <c r="K152" s="8" t="inlineStr">
        <is>
          <t>★ 원본 '?' 항목 보완</t>
        </is>
      </c>
    </row>
    <row r="153" ht="32" customHeight="1">
      <c r="A153" s="7" t="n">
        <v>149</v>
      </c>
      <c r="B153" s="8" t="inlineStr">
        <is>
          <t>E. 번식관리(A.I.·ET)</t>
        </is>
      </c>
      <c r="C153" s="8" t="inlineStr">
        <is>
          <t>E-6 검경·동결</t>
        </is>
      </c>
      <c r="D153" s="9" t="inlineStr">
        <is>
          <t>실체현미경 (Stereo, 10~63배 + 히팅스테이지)</t>
        </is>
      </c>
      <c r="E153" s="8" t="inlineStr">
        <is>
          <t>수정란 검경·등급판정용</t>
        </is>
      </c>
      <c r="F153" s="8" t="inlineStr">
        <is>
          <t>Nikon SMZ / Olympus SZX</t>
        </is>
      </c>
      <c r="G153" s="7" t="inlineStr">
        <is>
          <t>대</t>
        </is>
      </c>
      <c r="H153" s="10" t="n">
        <v>2</v>
      </c>
      <c r="I153" s="7" t="inlineStr">
        <is>
          <t>한국조달</t>
        </is>
      </c>
      <c r="J153" s="8" t="inlineStr">
        <is>
          <t>번식 작업실 내 설치</t>
        </is>
      </c>
      <c r="K153" s="8" t="inlineStr">
        <is>
          <t>★ 원본 '?' 항목 보완</t>
        </is>
      </c>
    </row>
    <row r="154" ht="32" customHeight="1">
      <c r="A154" s="7" t="n">
        <v>150</v>
      </c>
      <c r="B154" s="8" t="inlineStr">
        <is>
          <t>E. 번식관리(A.I.·ET)</t>
        </is>
      </c>
      <c r="C154" s="8" t="inlineStr">
        <is>
          <t>E-6 검경·동결</t>
        </is>
      </c>
      <c r="D154" s="9" t="inlineStr">
        <is>
          <t>수정란 검경용 항온판(Warming Plate)</t>
        </is>
      </c>
      <c r="E154" s="8" t="inlineStr">
        <is>
          <t>37℃ ±0.2</t>
        </is>
      </c>
      <c r="F154" s="8" t="inlineStr">
        <is>
          <t>-</t>
        </is>
      </c>
      <c r="G154" s="7" t="inlineStr">
        <is>
          <t>대</t>
        </is>
      </c>
      <c r="H154" s="10" t="n">
        <v>3</v>
      </c>
      <c r="I154" s="7" t="inlineStr">
        <is>
          <t>한국조달</t>
        </is>
      </c>
      <c r="J154" s="8" t="inlineStr">
        <is>
          <t>-</t>
        </is>
      </c>
      <c r="K154" s="8" t="inlineStr">
        <is>
          <t>-</t>
        </is>
      </c>
    </row>
    <row r="155" ht="32" customHeight="1">
      <c r="A155" s="7" t="n">
        <v>151</v>
      </c>
      <c r="B155" s="8" t="inlineStr">
        <is>
          <t>E. 번식관리(A.I.·ET)</t>
        </is>
      </c>
      <c r="C155" s="8" t="inlineStr">
        <is>
          <t>E-6 검경·동결</t>
        </is>
      </c>
      <c r="D155" s="9" t="inlineStr">
        <is>
          <t>프로그램 동결기 (Programmable Freezer)</t>
        </is>
      </c>
      <c r="E155" s="8" t="inlineStr">
        <is>
          <t>8스트로 / 시딩 자동</t>
        </is>
      </c>
      <c r="F155" s="8" t="inlineStr">
        <is>
          <t>CL-8800i / Freeze Control</t>
        </is>
      </c>
      <c r="G155" s="7" t="inlineStr">
        <is>
          <t>대</t>
        </is>
      </c>
      <c r="H155" s="10" t="n">
        <v>1</v>
      </c>
      <c r="I155" s="7" t="inlineStr">
        <is>
          <t>한국조달</t>
        </is>
      </c>
      <c r="J155" s="8" t="inlineStr">
        <is>
          <t>LN2 공급·무정전 전원 필요</t>
        </is>
      </c>
      <c r="K155" s="8" t="inlineStr">
        <is>
          <t>현지 수정란 자체 동결보관 체계 구축</t>
        </is>
      </c>
    </row>
    <row r="156" ht="32" customHeight="1">
      <c r="A156" s="7" t="n">
        <v>152</v>
      </c>
      <c r="B156" s="8" t="inlineStr">
        <is>
          <t>E. 번식관리(A.I.·ET)</t>
        </is>
      </c>
      <c r="C156" s="8" t="inlineStr">
        <is>
          <t>E-6 검경·동결</t>
        </is>
      </c>
      <c r="D156" s="9" t="inlineStr">
        <is>
          <t>유리화동결(Vitrification) 키트·기구</t>
        </is>
      </c>
      <c r="E156" s="8" t="inlineStr">
        <is>
          <t>Cryotop / OPS 방식</t>
        </is>
      </c>
      <c r="F156" s="8" t="inlineStr">
        <is>
          <t>-</t>
        </is>
      </c>
      <c r="G156" s="7" t="inlineStr">
        <is>
          <t>식</t>
        </is>
      </c>
      <c r="H156" s="10" t="n">
        <v>1</v>
      </c>
      <c r="I156" s="7" t="inlineStr">
        <is>
          <t>한국조달</t>
        </is>
      </c>
      <c r="J156" s="8" t="inlineStr">
        <is>
          <t>-</t>
        </is>
      </c>
      <c r="K156" s="8" t="inlineStr">
        <is>
          <t>-</t>
        </is>
      </c>
    </row>
    <row r="157" ht="32" customHeight="1">
      <c r="A157" s="7" t="n">
        <v>153</v>
      </c>
      <c r="B157" s="8" t="inlineStr">
        <is>
          <t>E. 번식관리(A.I.·ET)</t>
        </is>
      </c>
      <c r="C157" s="8" t="inlineStr">
        <is>
          <t>E-6 검경·동결</t>
        </is>
      </c>
      <c r="D157" s="9" t="inlineStr">
        <is>
          <t>수정란 운반용 드라이시퍼 (Dry Shipper)</t>
        </is>
      </c>
      <c r="E157" s="8" t="inlineStr">
        <is>
          <t>국제운송 대응 / -190℃ 10일 유지</t>
        </is>
      </c>
      <c r="F157" s="8" t="inlineStr">
        <is>
          <t>MVE Cryoshipper</t>
        </is>
      </c>
      <c r="G157" s="7" t="inlineStr">
        <is>
          <t>대</t>
        </is>
      </c>
      <c r="H157" s="10" t="n">
        <v>2</v>
      </c>
      <c r="I157" s="7" t="inlineStr">
        <is>
          <t>한국조달</t>
        </is>
      </c>
      <c r="J157" s="8" t="inlineStr">
        <is>
          <t>항공 운송 규정 확인</t>
        </is>
      </c>
      <c r="K157" s="8" t="inlineStr">
        <is>
          <t>★ 한국→우즈벡 수정란 운송 필수 기자재</t>
        </is>
      </c>
    </row>
    <row r="158" ht="32" customHeight="1">
      <c r="A158" s="7" t="n">
        <v>154</v>
      </c>
      <c r="B158" s="8" t="inlineStr">
        <is>
          <t>E. 번식관리(A.I.·ET)</t>
        </is>
      </c>
      <c r="C158" s="8" t="inlineStr">
        <is>
          <t>E-7 번식제어</t>
        </is>
      </c>
      <c r="D158" s="9" t="inlineStr">
        <is>
          <t>발정동기화 호르몬 프로그램</t>
        </is>
      </c>
      <c r="E158" s="8" t="inlineStr">
        <is>
          <t>CIDR, GnRH, PGF2α / 수란우 연 400두 기준 / 3년분</t>
        </is>
      </c>
      <c r="F158" s="8" t="inlineStr">
        <is>
          <t>-</t>
        </is>
      </c>
      <c r="G158" s="7" t="inlineStr">
        <is>
          <t>식</t>
        </is>
      </c>
      <c r="H158" s="10" t="n">
        <v>1</v>
      </c>
      <c r="I158" s="7" t="inlineStr">
        <is>
          <t>한국조달</t>
        </is>
      </c>
      <c r="J158" s="8" t="inlineStr">
        <is>
          <t>현지 동물용의약품 수입허가 확인</t>
        </is>
      </c>
      <c r="K158" s="8" t="inlineStr">
        <is>
          <t>정시인공수정·정시이식(FTET) 프로토콜 적용</t>
        </is>
      </c>
    </row>
    <row r="159" ht="32" customHeight="1">
      <c r="A159" s="7" t="n">
        <v>155</v>
      </c>
      <c r="B159" s="8" t="inlineStr">
        <is>
          <t>E. 번식관리(A.I.·ET)</t>
        </is>
      </c>
      <c r="C159" s="8" t="inlineStr">
        <is>
          <t>E-8 유전자원</t>
        </is>
      </c>
      <c r="D159" s="9" t="inlineStr">
        <is>
          <t>홀스타인 성감별 정액</t>
        </is>
      </c>
      <c r="E159" s="8" t="inlineStr">
        <is>
          <t>Sexed semen / 국내산·수입 / 3년 소요량</t>
        </is>
      </c>
      <c r="F159" s="8" t="inlineStr">
        <is>
          <t>-</t>
        </is>
      </c>
      <c r="G159" s="7" t="inlineStr">
        <is>
          <t>str</t>
        </is>
      </c>
      <c r="H159" s="10" t="n">
        <v>500</v>
      </c>
      <c r="I159" s="7" t="inlineStr">
        <is>
          <t>한국조달</t>
        </is>
      </c>
      <c r="J159" s="8" t="inlineStr">
        <is>
          <t>수입 검역 요건 사전 확인</t>
        </is>
      </c>
      <c r="K159" s="8" t="inlineStr">
        <is>
          <t>암송아지 생산율 90% 이상 기대. 번식대상 160두 기준</t>
        </is>
      </c>
    </row>
    <row r="160" ht="32" customHeight="1">
      <c r="A160" s="7" t="n">
        <v>156</v>
      </c>
      <c r="B160" s="8" t="inlineStr">
        <is>
          <t>E. 번식관리(A.I.·ET)</t>
        </is>
      </c>
      <c r="C160" s="8" t="inlineStr">
        <is>
          <t>E-8 유전자원</t>
        </is>
      </c>
      <c r="D160" s="9" t="inlineStr">
        <is>
          <t>한국산 홀스타인 성감별 수정란</t>
        </is>
      </c>
      <c r="E160" s="8" t="inlineStr">
        <is>
          <t>Sexed Holstein Embryo / 3년간 600개</t>
        </is>
      </c>
      <c r="F160" s="8" t="inlineStr">
        <is>
          <t>Korea Genetics</t>
        </is>
      </c>
      <c r="G160" s="7" t="inlineStr">
        <is>
          <t>개</t>
        </is>
      </c>
      <c r="H160" s="10" t="n">
        <v>600</v>
      </c>
      <c r="I160" s="7" t="inlineStr">
        <is>
          <t>한국조달</t>
        </is>
      </c>
      <c r="J160" s="8" t="inlineStr">
        <is>
          <t>수입 검역 요건(Export Permit / Health Certificate) 사전 확인</t>
        </is>
      </c>
      <c r="K160" s="11" t="inlineStr">
        <is>
          <t>★★★ 사업의 유전적 핵심. 자체 목장 수란우 + 인근 농가 보급 이식분. 한국 홀스타인 성감별 유용 수정란만 대상</t>
        </is>
      </c>
    </row>
    <row r="161" ht="32" customHeight="1">
      <c r="A161" s="7" t="n">
        <v>157</v>
      </c>
      <c r="B161" s="8" t="inlineStr">
        <is>
          <t>E. 번식관리(A.I.·ET)</t>
        </is>
      </c>
      <c r="C161" s="8" t="inlineStr">
        <is>
          <t>E-9 작업공간·기록</t>
        </is>
      </c>
      <c r="D161" s="9" t="inlineStr">
        <is>
          <t>번식 작업실(수정란 취급실)</t>
        </is>
      </c>
      <c r="E161" s="8" t="inlineStr">
        <is>
          <t>30㎡ / 현미경·동결기·LN2 탱크 설치 / 항온·청결 관리 / 작업대·수납</t>
        </is>
      </c>
      <c r="F161" s="8" t="inlineStr">
        <is>
          <t>-</t>
        </is>
      </c>
      <c r="G161" s="7" t="inlineStr">
        <is>
          <t>식</t>
        </is>
      </c>
      <c r="H161" s="10" t="n">
        <v>1</v>
      </c>
      <c r="I161" s="7" t="inlineStr">
        <is>
          <t>한국+현지</t>
        </is>
      </c>
      <c r="J161" s="8" t="inlineStr">
        <is>
          <t>팔러동 또는 관리동에 부속 배치</t>
        </is>
      </c>
      <c r="K161" s="8" t="inlineStr">
        <is>
          <t>체외수정란(IVF) 실험실은 확장항목(2단계) 참조 — 본 범위는 채란·검경·동결·이식 수준</t>
        </is>
      </c>
    </row>
    <row r="162" ht="32" customHeight="1">
      <c r="A162" s="7" t="n">
        <v>158</v>
      </c>
      <c r="B162" s="8" t="inlineStr">
        <is>
          <t>E. 번식관리(A.I.·ET)</t>
        </is>
      </c>
      <c r="C162" s="8" t="inlineStr">
        <is>
          <t>E-9 작업공간·기록</t>
        </is>
      </c>
      <c r="D162" s="9" t="inlineStr">
        <is>
          <t>수정 기록용 현장 단말(방수 태블릿)</t>
        </is>
      </c>
      <c r="E162" s="8" t="inlineStr">
        <is>
          <t>개체별 발정·수정·임신·분만 기록</t>
        </is>
      </c>
      <c r="F162" s="8" t="inlineStr">
        <is>
          <t>-</t>
        </is>
      </c>
      <c r="G162" s="7" t="inlineStr">
        <is>
          <t>대</t>
        </is>
      </c>
      <c r="H162" s="10" t="n">
        <v>5</v>
      </c>
      <c r="I162" s="7" t="inlineStr">
        <is>
          <t>한국조달</t>
        </is>
      </c>
      <c r="J162" s="8" t="inlineStr">
        <is>
          <t>개체번호 체계(A-5·B-2) 일치</t>
        </is>
      </c>
      <c r="K162" s="8" t="inlineStr">
        <is>
          <t>-</t>
        </is>
      </c>
    </row>
    <row r="163" ht="32" customHeight="1">
      <c r="A163" s="7" t="n">
        <v>159</v>
      </c>
      <c r="B163" s="8" t="inlineStr">
        <is>
          <t>E. 번식관리(A.I.·ET)</t>
        </is>
      </c>
      <c r="C163" s="8" t="inlineStr">
        <is>
          <t>E-9 작업공간·기록</t>
        </is>
      </c>
      <c r="D163" s="9" t="inlineStr">
        <is>
          <t>번식관리 기록 시스템(개체 대장·서식)</t>
        </is>
      </c>
      <c r="E163" s="8" t="inlineStr">
        <is>
          <t>수정·임신진단·분만·수태율 통계 / 우즈벡어·러시아어</t>
        </is>
      </c>
      <c r="F163" s="8" t="inlineStr">
        <is>
          <t>-</t>
        </is>
      </c>
      <c r="G163" s="7" t="inlineStr">
        <is>
          <t>식</t>
        </is>
      </c>
      <c r="H163" s="10" t="n">
        <v>1</v>
      </c>
      <c r="I163" s="7" t="inlineStr">
        <is>
          <t>한국조달</t>
        </is>
      </c>
      <c r="J163" s="8" t="inlineStr">
        <is>
          <t>-</t>
        </is>
      </c>
      <c r="K163" s="8" t="inlineStr">
        <is>
          <t>수태율·공태일수 관리 없이는 개량 성과 측정 불가</t>
        </is>
      </c>
    </row>
    <row r="164" ht="32" customHeight="1">
      <c r="A164" s="7" t="n">
        <v>160</v>
      </c>
      <c r="B164" s="8" t="inlineStr">
        <is>
          <t>E. 번식관리(A.I.·ET)</t>
        </is>
      </c>
      <c r="C164" s="8" t="inlineStr">
        <is>
          <t>E-9 작업공간·기록</t>
        </is>
      </c>
      <c r="D164" s="9" t="inlineStr">
        <is>
          <t>수정란 등급판정 매뉴얼·표준 사진집</t>
        </is>
      </c>
      <c r="E164" s="8" t="inlineStr">
        <is>
          <t>IETS 기준 / 우즈벡어·러시아어</t>
        </is>
      </c>
      <c r="F164" s="8" t="inlineStr">
        <is>
          <t>-</t>
        </is>
      </c>
      <c r="G164" s="7" t="inlineStr">
        <is>
          <t>식</t>
        </is>
      </c>
      <c r="H164" s="10" t="n">
        <v>1</v>
      </c>
      <c r="I164" s="7" t="inlineStr">
        <is>
          <t>한국조달</t>
        </is>
      </c>
      <c r="J164" s="8" t="inlineStr">
        <is>
          <t>-</t>
        </is>
      </c>
      <c r="K164" s="8" t="inlineStr">
        <is>
          <t>등급판정 표준화 없이는 성적 비교 불가</t>
        </is>
      </c>
    </row>
    <row r="165" ht="32" customHeight="1">
      <c r="A165" s="7" t="n">
        <v>161</v>
      </c>
      <c r="B165" s="8" t="inlineStr">
        <is>
          <t>E. 번식관리(A.I.·ET)</t>
        </is>
      </c>
      <c r="C165" s="8" t="inlineStr">
        <is>
          <t>E-10 예비부품</t>
        </is>
      </c>
      <c r="D165" s="9" t="inlineStr">
        <is>
          <t>번식 기자재 예비부품·소모품 예비분</t>
        </is>
      </c>
      <c r="E165" s="8" t="inlineStr">
        <is>
          <t>주입기 부품·현미경 램프·동결기 소모품</t>
        </is>
      </c>
      <c r="F165" s="8" t="inlineStr">
        <is>
          <t>-</t>
        </is>
      </c>
      <c r="G165" s="7" t="inlineStr">
        <is>
          <t>식</t>
        </is>
      </c>
      <c r="H165" s="10" t="n">
        <v>1</v>
      </c>
      <c r="I165" s="7" t="inlineStr">
        <is>
          <t>한국조달</t>
        </is>
      </c>
      <c r="J165" s="8" t="inlineStr">
        <is>
          <t>-</t>
        </is>
      </c>
      <c r="K165" s="8" t="inlineStr">
        <is>
          <t>-</t>
        </is>
      </c>
    </row>
    <row r="166" ht="32" customHeight="1">
      <c r="A166" s="13" t="n">
        <v>162</v>
      </c>
      <c r="B166" s="14" t="inlineStr">
        <is>
          <t>F. 목장형 유가공·유질관리</t>
        </is>
      </c>
      <c r="C166" s="14" t="inlineStr">
        <is>
          <t>F-1 건축</t>
        </is>
      </c>
      <c r="D166" s="15" t="inlineStr">
        <is>
          <t>목장형 유가공동</t>
        </is>
      </c>
      <c r="E166" s="14" t="inlineStr">
        <is>
          <t>300㎡ / HACCP 대응 위생마감 / 에폭시 바닥·위생 벽체 / 원료유실·가공실·충전실·냉장실·시험실·갱의실</t>
        </is>
      </c>
      <c r="F166" s="14" t="inlineStr">
        <is>
          <t>1일 2.5톤 처리(자가 원유 전량)</t>
        </is>
      </c>
      <c r="G166" s="13" t="inlineStr">
        <is>
          <t>동</t>
        </is>
      </c>
      <c r="H166" s="16" t="n">
        <v>1</v>
      </c>
      <c r="I166" s="13" t="inlineStr">
        <is>
          <t>현지조달</t>
        </is>
      </c>
      <c r="J166" s="14" t="inlineStr">
        <is>
          <t>축사에서 원유배관 직결 / 폐수처리 연계</t>
        </is>
      </c>
      <c r="K166" s="17" t="inlineStr">
        <is>
          <t>★★ 회장님 지시 — 착유우 100두 규모에 맞춘 목장형 최소 사양. 자가 원유 2.5톤/일 전량 처리</t>
        </is>
      </c>
    </row>
    <row r="167" ht="32" customHeight="1">
      <c r="A167" s="13" t="n">
        <v>163</v>
      </c>
      <c r="B167" s="14" t="inlineStr">
        <is>
          <t>F. 목장형 유가공·유질관리</t>
        </is>
      </c>
      <c r="C167" s="14" t="inlineStr">
        <is>
          <t>F-2 수유·저장</t>
        </is>
      </c>
      <c r="D167" s="15" t="inlineStr">
        <is>
          <t>원유 수유·계량·여과 설비</t>
        </is>
      </c>
      <c r="E167" s="14" t="inlineStr">
        <is>
          <t>2,500 L/h / 유량계 / 여과기 / 공기분리</t>
        </is>
      </c>
      <c r="F167" s="14" t="inlineStr">
        <is>
          <t>-</t>
        </is>
      </c>
      <c r="G167" s="13" t="inlineStr">
        <is>
          <t>식</t>
        </is>
      </c>
      <c r="H167" s="16" t="n">
        <v>1</v>
      </c>
      <c r="I167" s="13" t="inlineStr">
        <is>
          <t>한국조달</t>
        </is>
      </c>
      <c r="J167" s="14" t="inlineStr">
        <is>
          <t>축사 직송배관(B군) 연결</t>
        </is>
      </c>
      <c r="K167" s="14" t="inlineStr">
        <is>
          <t>-</t>
        </is>
      </c>
    </row>
    <row r="168" ht="32" customHeight="1">
      <c r="A168" s="13" t="n">
        <v>164</v>
      </c>
      <c r="B168" s="14" t="inlineStr">
        <is>
          <t>F. 목장형 유가공·유질관리</t>
        </is>
      </c>
      <c r="C168" s="14" t="inlineStr">
        <is>
          <t>F-2 수유·저장</t>
        </is>
      </c>
      <c r="D168" s="15" t="inlineStr">
        <is>
          <t>저유탱크 1,500L</t>
        </is>
      </c>
      <c r="E168" s="14" t="inlineStr">
        <is>
          <t>이중자켓 냉각 / 교반 / 온도기록</t>
        </is>
      </c>
      <c r="F168" s="14" t="inlineStr">
        <is>
          <t>-</t>
        </is>
      </c>
      <c r="G168" s="13" t="inlineStr">
        <is>
          <t>기</t>
        </is>
      </c>
      <c r="H168" s="16" t="n">
        <v>2</v>
      </c>
      <c r="I168" s="13" t="inlineStr">
        <is>
          <t>한국조달</t>
        </is>
      </c>
      <c r="J168" s="14" t="inlineStr">
        <is>
          <t>-</t>
        </is>
      </c>
      <c r="K168" s="14" t="inlineStr">
        <is>
          <t>2.5톤/일 처리 대응</t>
        </is>
      </c>
    </row>
    <row r="169" ht="32" customHeight="1">
      <c r="A169" s="13" t="n">
        <v>165</v>
      </c>
      <c r="B169" s="14" t="inlineStr">
        <is>
          <t>F. 목장형 유가공·유질관리</t>
        </is>
      </c>
      <c r="C169" s="14" t="inlineStr">
        <is>
          <t>F-3 전처리·살균</t>
        </is>
      </c>
      <c r="D169" s="15" t="inlineStr">
        <is>
          <t>크림 세퍼레이터(소형)</t>
        </is>
      </c>
      <c r="E169" s="14" t="inlineStr">
        <is>
          <t>500 L/h / 지방률 조정</t>
        </is>
      </c>
      <c r="F169" s="14" t="inlineStr">
        <is>
          <t>-</t>
        </is>
      </c>
      <c r="G169" s="13" t="inlineStr">
        <is>
          <t>대</t>
        </is>
      </c>
      <c r="H169" s="16" t="n">
        <v>1</v>
      </c>
      <c r="I169" s="13" t="inlineStr">
        <is>
          <t>한국조달</t>
        </is>
      </c>
      <c r="J169" s="14" t="inlineStr">
        <is>
          <t>버터·카이막 원료 크림 공급</t>
        </is>
      </c>
      <c r="K169" s="14" t="inlineStr">
        <is>
          <t>-</t>
        </is>
      </c>
    </row>
    <row r="170" ht="32" customHeight="1">
      <c r="A170" s="13" t="n">
        <v>166</v>
      </c>
      <c r="B170" s="14" t="inlineStr">
        <is>
          <t>F. 목장형 유가공·유질관리</t>
        </is>
      </c>
      <c r="C170" s="14" t="inlineStr">
        <is>
          <t>F-3 전처리·살균</t>
        </is>
      </c>
      <c r="D170" s="15" t="inlineStr">
        <is>
          <t>균질기(소형)</t>
        </is>
      </c>
      <c r="E170" s="14" t="inlineStr">
        <is>
          <t>1,000 L/h / 150 bar</t>
        </is>
      </c>
      <c r="F170" s="14" t="inlineStr">
        <is>
          <t>-</t>
        </is>
      </c>
      <c r="G170" s="13" t="inlineStr">
        <is>
          <t>대</t>
        </is>
      </c>
      <c r="H170" s="16" t="n">
        <v>1</v>
      </c>
      <c r="I170" s="13" t="inlineStr">
        <is>
          <t>한국조달</t>
        </is>
      </c>
      <c r="J170" s="14" t="inlineStr">
        <is>
          <t>-</t>
        </is>
      </c>
      <c r="K170" s="14" t="inlineStr">
        <is>
          <t>시유 품질 균일화</t>
        </is>
      </c>
    </row>
    <row r="171" ht="32" customHeight="1">
      <c r="A171" s="13" t="n">
        <v>167</v>
      </c>
      <c r="B171" s="14" t="inlineStr">
        <is>
          <t>F. 목장형 유가공·유질관리</t>
        </is>
      </c>
      <c r="C171" s="14" t="inlineStr">
        <is>
          <t>F-3 전처리·살균</t>
        </is>
      </c>
      <c r="D171" s="15" t="inlineStr">
        <is>
          <t>판형 살균기 (HTST, 소형)</t>
        </is>
      </c>
      <c r="E171" s="14" t="inlineStr">
        <is>
          <t>1,000 L/h / 72~75℃ 15초 / 열회수 / 자동제어·기록</t>
        </is>
      </c>
      <c r="F171" s="14" t="inlineStr">
        <is>
          <t>-</t>
        </is>
      </c>
      <c r="G171" s="13" t="inlineStr">
        <is>
          <t>식</t>
        </is>
      </c>
      <c r="H171" s="16" t="n">
        <v>1</v>
      </c>
      <c r="I171" s="13" t="inlineStr">
        <is>
          <t>한국조달</t>
        </is>
      </c>
      <c r="J171" s="14" t="inlineStr">
        <is>
          <t>보일러·칠러 용량 연동</t>
        </is>
      </c>
      <c r="K171" s="14" t="inlineStr">
        <is>
          <t>시유(백색우유) 라인의 심장부</t>
        </is>
      </c>
    </row>
    <row r="172" ht="32" customHeight="1">
      <c r="A172" s="13" t="n">
        <v>168</v>
      </c>
      <c r="B172" s="14" t="inlineStr">
        <is>
          <t>F. 목장형 유가공·유질관리</t>
        </is>
      </c>
      <c r="C172" s="14" t="inlineStr">
        <is>
          <t>F-3 전처리·살균</t>
        </is>
      </c>
      <c r="D172" s="15" t="inlineStr">
        <is>
          <t>다목적 가공탱크(살균·발효·치즈 겸용) 500L</t>
        </is>
      </c>
      <c r="E172" s="14" t="inlineStr">
        <is>
          <t>이중자켓 가온·냉각 / 가변속 교반 / LTLT 63℃ 30분 대응</t>
        </is>
      </c>
      <c r="F172" s="14" t="inlineStr">
        <is>
          <t>-</t>
        </is>
      </c>
      <c r="G172" s="13" t="inlineStr">
        <is>
          <t>기</t>
        </is>
      </c>
      <c r="H172" s="16" t="n">
        <v>2</v>
      </c>
      <c r="I172" s="13" t="inlineStr">
        <is>
          <t>한국조달</t>
        </is>
      </c>
      <c r="J172" s="14" t="inlineStr">
        <is>
          <t>-</t>
        </is>
      </c>
      <c r="K172" s="14" t="inlineStr">
        <is>
          <t>★ 목장형 최소사양의 핵심 — 1대로 살균·요거트·치즈를 겸용</t>
        </is>
      </c>
    </row>
    <row r="173" ht="32" customHeight="1">
      <c r="A173" s="13" t="n">
        <v>169</v>
      </c>
      <c r="B173" s="14" t="inlineStr">
        <is>
          <t>F. 목장형 유가공·유질관리</t>
        </is>
      </c>
      <c r="C173" s="14" t="inlineStr">
        <is>
          <t>F-4 제품라인</t>
        </is>
      </c>
      <c r="D173" s="15" t="inlineStr">
        <is>
          <t>발효탱크(요거트·발효유) 300L</t>
        </is>
      </c>
      <c r="E173" s="14" t="inlineStr">
        <is>
          <t>자켓 가온·냉각 / 저속 교반 / 자동 발효제어</t>
        </is>
      </c>
      <c r="F173" s="14" t="inlineStr">
        <is>
          <t>-</t>
        </is>
      </c>
      <c r="G173" s="13" t="inlineStr">
        <is>
          <t>기</t>
        </is>
      </c>
      <c r="H173" s="16" t="n">
        <v>2</v>
      </c>
      <c r="I173" s="13" t="inlineStr">
        <is>
          <t>한국조달</t>
        </is>
      </c>
      <c r="J173" s="14" t="inlineStr">
        <is>
          <t>-</t>
        </is>
      </c>
      <c r="K173" s="14" t="inlineStr">
        <is>
          <t>-</t>
        </is>
      </c>
    </row>
    <row r="174" ht="32" customHeight="1">
      <c r="A174" s="13" t="n">
        <v>170</v>
      </c>
      <c r="B174" s="14" t="inlineStr">
        <is>
          <t>F. 목장형 유가공·유질관리</t>
        </is>
      </c>
      <c r="C174" s="14" t="inlineStr">
        <is>
          <t>F-4 제품라인</t>
        </is>
      </c>
      <c r="D174" s="15" t="inlineStr">
        <is>
          <t>그릭요거트 여과·스트레이닝 세트</t>
        </is>
      </c>
      <c r="E174" s="14" t="inlineStr">
        <is>
          <t>여과포·배수대·냉각 / 소형</t>
        </is>
      </c>
      <c r="F174" s="14" t="inlineStr">
        <is>
          <t>-</t>
        </is>
      </c>
      <c r="G174" s="13" t="inlineStr">
        <is>
          <t>식</t>
        </is>
      </c>
      <c r="H174" s="16" t="n">
        <v>1</v>
      </c>
      <c r="I174" s="13" t="inlineStr">
        <is>
          <t>한국조달</t>
        </is>
      </c>
      <c r="J174" s="14" t="inlineStr">
        <is>
          <t>유청 회수설비 연결</t>
        </is>
      </c>
      <c r="K174" s="14" t="inlineStr">
        <is>
          <t>★ 송영신목장 그릭요거트 기술 현지 이식</t>
        </is>
      </c>
    </row>
    <row r="175" ht="32" customHeight="1">
      <c r="A175" s="13" t="n">
        <v>171</v>
      </c>
      <c r="B175" s="14" t="inlineStr">
        <is>
          <t>F. 목장형 유가공·유질관리</t>
        </is>
      </c>
      <c r="C175" s="14" t="inlineStr">
        <is>
          <t>F-4 제품라인</t>
        </is>
      </c>
      <c r="D175" s="15" t="inlineStr">
        <is>
          <t>스타터(종균) 배양기(소형)</t>
        </is>
      </c>
      <c r="E175" s="14" t="inlineStr">
        <is>
          <t>무균 배양</t>
        </is>
      </c>
      <c r="F175" s="14" t="inlineStr">
        <is>
          <t>-</t>
        </is>
      </c>
      <c r="G175" s="13" t="inlineStr">
        <is>
          <t>대</t>
        </is>
      </c>
      <c r="H175" s="16" t="n">
        <v>1</v>
      </c>
      <c r="I175" s="13" t="inlineStr">
        <is>
          <t>한국조달</t>
        </is>
      </c>
      <c r="J175" s="14" t="inlineStr">
        <is>
          <t>-</t>
        </is>
      </c>
      <c r="K175" s="14" t="inlineStr">
        <is>
          <t>★ 원본 누락. 종균 수입 의존을 줄이는 항목</t>
        </is>
      </c>
    </row>
    <row r="176" ht="32" customHeight="1">
      <c r="A176" s="13" t="n">
        <v>172</v>
      </c>
      <c r="B176" s="14" t="inlineStr">
        <is>
          <t>F. 목장형 유가공·유질관리</t>
        </is>
      </c>
      <c r="C176" s="14" t="inlineStr">
        <is>
          <t>F-4 제품라인</t>
        </is>
      </c>
      <c r="D176" s="15" t="inlineStr">
        <is>
          <t>치즈 커드나이프·몰드·압착기</t>
        </is>
      </c>
      <c r="E176" s="14" t="inlineStr">
        <is>
          <t>다목적 가공탱크와 조합 / 압착기 1대 + 몰드 20개</t>
        </is>
      </c>
      <c r="F176" s="14" t="inlineStr">
        <is>
          <t>-</t>
        </is>
      </c>
      <c r="G176" s="13" t="inlineStr">
        <is>
          <t>식</t>
        </is>
      </c>
      <c r="H176" s="16" t="n">
        <v>1</v>
      </c>
      <c r="I176" s="13" t="inlineStr">
        <is>
          <t>한국조달</t>
        </is>
      </c>
      <c r="J176" s="14" t="inlineStr">
        <is>
          <t>다목적 가공탱크 연계</t>
        </is>
      </c>
      <c r="K176" s="14" t="inlineStr">
        <is>
          <t>현지 수요 높은 수리·브린자 치즈 대응</t>
        </is>
      </c>
    </row>
    <row r="177" ht="32" customHeight="1">
      <c r="A177" s="13" t="n">
        <v>173</v>
      </c>
      <c r="B177" s="14" t="inlineStr">
        <is>
          <t>F. 목장형 유가공·유질관리</t>
        </is>
      </c>
      <c r="C177" s="14" t="inlineStr">
        <is>
          <t>F-4 제품라인</t>
        </is>
      </c>
      <c r="D177" s="15" t="inlineStr">
        <is>
          <t>치즈 브라인(염수) 탱크</t>
        </is>
      </c>
      <c r="E177" s="14" t="inlineStr">
        <is>
          <t>-</t>
        </is>
      </c>
      <c r="F177" s="14" t="inlineStr">
        <is>
          <t>-</t>
        </is>
      </c>
      <c r="G177" s="13" t="inlineStr">
        <is>
          <t>기</t>
        </is>
      </c>
      <c r="H177" s="16" t="n">
        <v>1</v>
      </c>
      <c r="I177" s="13" t="inlineStr">
        <is>
          <t>한국조달</t>
        </is>
      </c>
      <c r="J177" s="14" t="inlineStr">
        <is>
          <t>-</t>
        </is>
      </c>
      <c r="K177" s="14" t="inlineStr">
        <is>
          <t>-</t>
        </is>
      </c>
    </row>
    <row r="178" ht="32" customHeight="1">
      <c r="A178" s="13" t="n">
        <v>174</v>
      </c>
      <c r="B178" s="14" t="inlineStr">
        <is>
          <t>F. 목장형 유가공·유질관리</t>
        </is>
      </c>
      <c r="C178" s="14" t="inlineStr">
        <is>
          <t>F-4 제품라인</t>
        </is>
      </c>
      <c r="D178" s="15" t="inlineStr">
        <is>
          <t>치즈 숙성실(항온항습)</t>
        </is>
      </c>
      <c r="E178" s="14" t="inlineStr">
        <is>
          <t>15㎥ / 10~14℃ / RH 85%</t>
        </is>
      </c>
      <c r="F178" s="14" t="inlineStr">
        <is>
          <t>-</t>
        </is>
      </c>
      <c r="G178" s="13" t="inlineStr">
        <is>
          <t>식</t>
        </is>
      </c>
      <c r="H178" s="16" t="n">
        <v>1</v>
      </c>
      <c r="I178" s="13" t="inlineStr">
        <is>
          <t>한국조달</t>
        </is>
      </c>
      <c r="J178" s="14" t="inlineStr">
        <is>
          <t>-</t>
        </is>
      </c>
      <c r="K178" s="14" t="inlineStr">
        <is>
          <t>-</t>
        </is>
      </c>
    </row>
    <row r="179" ht="32" customHeight="1">
      <c r="A179" s="13" t="n">
        <v>175</v>
      </c>
      <c r="B179" s="14" t="inlineStr">
        <is>
          <t>F. 목장형 유가공·유질관리</t>
        </is>
      </c>
      <c r="C179" s="14" t="inlineStr">
        <is>
          <t>F-4 제품라인</t>
        </is>
      </c>
      <c r="D179" s="15" t="inlineStr">
        <is>
          <t>버터 처닝기 50L</t>
        </is>
      </c>
      <c r="E179" s="14" t="inlineStr">
        <is>
          <t>배치식</t>
        </is>
      </c>
      <c r="F179" s="14" t="inlineStr">
        <is>
          <t>-</t>
        </is>
      </c>
      <c r="G179" s="13" t="inlineStr">
        <is>
          <t>대</t>
        </is>
      </c>
      <c r="H179" s="16" t="n">
        <v>1</v>
      </c>
      <c r="I179" s="13" t="inlineStr">
        <is>
          <t>한국조달</t>
        </is>
      </c>
      <c r="J179" s="14" t="inlineStr">
        <is>
          <t>크림 세퍼레이터 연계</t>
        </is>
      </c>
      <c r="K179" s="14" t="inlineStr">
        <is>
          <t>-</t>
        </is>
      </c>
    </row>
    <row r="180" ht="32" customHeight="1">
      <c r="A180" s="13" t="n">
        <v>176</v>
      </c>
      <c r="B180" s="14" t="inlineStr">
        <is>
          <t>F. 목장형 유가공·유질관리</t>
        </is>
      </c>
      <c r="C180" s="14" t="inlineStr">
        <is>
          <t>F-4 제품라인</t>
        </is>
      </c>
      <c r="D180" s="15" t="inlineStr">
        <is>
          <t>카이막(Kaymak) 가공설비</t>
        </is>
      </c>
      <c r="E180" s="14" t="inlineStr">
        <is>
          <t>전용 팬 · 저온 냉각 · 숙성</t>
        </is>
      </c>
      <c r="F180" s="14" t="inlineStr">
        <is>
          <t>-</t>
        </is>
      </c>
      <c r="G180" s="13" t="inlineStr">
        <is>
          <t>식</t>
        </is>
      </c>
      <c r="H180" s="16" t="n">
        <v>1</v>
      </c>
      <c r="I180" s="13" t="inlineStr">
        <is>
          <t>한국조달</t>
        </is>
      </c>
      <c r="J180" s="14" t="inlineStr">
        <is>
          <t>-</t>
        </is>
      </c>
      <c r="K180" s="17" t="inlineStr">
        <is>
          <t>★★ 우즈벡 현지 최고가 유제품 — 수익성 핵심. 송영신 카이막 기술 이식</t>
        </is>
      </c>
    </row>
    <row r="181" ht="32" customHeight="1">
      <c r="A181" s="13" t="n">
        <v>177</v>
      </c>
      <c r="B181" s="14" t="inlineStr">
        <is>
          <t>F. 목장형 유가공·유질관리</t>
        </is>
      </c>
      <c r="C181" s="14" t="inlineStr">
        <is>
          <t>F-4 제품라인</t>
        </is>
      </c>
      <c r="D181" s="15" t="inlineStr">
        <is>
          <t>아이스크림 배치 프리저 60L/h + 소형 경화고</t>
        </is>
      </c>
      <c r="E181" s="14" t="inlineStr">
        <is>
          <t>오버런 제어</t>
        </is>
      </c>
      <c r="F181" s="14" t="inlineStr">
        <is>
          <t>-</t>
        </is>
      </c>
      <c r="G181" s="13" t="inlineStr">
        <is>
          <t>식</t>
        </is>
      </c>
      <c r="H181" s="16" t="n">
        <v>1</v>
      </c>
      <c r="I181" s="13" t="inlineStr">
        <is>
          <t>한국조달</t>
        </is>
      </c>
      <c r="J181" s="14" t="inlineStr">
        <is>
          <t>냉동창고 연계</t>
        </is>
      </c>
      <c r="K181" s="14" t="inlineStr">
        <is>
          <t>혹서기 최대 수익 품목</t>
        </is>
      </c>
    </row>
    <row r="182" ht="32" customHeight="1">
      <c r="A182" s="13" t="n">
        <v>178</v>
      </c>
      <c r="B182" s="14" t="inlineStr">
        <is>
          <t>F. 목장형 유가공·유질관리</t>
        </is>
      </c>
      <c r="C182" s="14" t="inlineStr">
        <is>
          <t>F-5 충전·포장</t>
        </is>
      </c>
      <c r="D182" s="15" t="inlineStr">
        <is>
          <t>병(PET/HDPE) 충전·캡핑기(반자동)</t>
        </is>
      </c>
      <c r="E182" s="14" t="inlineStr">
        <is>
          <t>500 병/h / 500ml·1L 겸용</t>
        </is>
      </c>
      <c r="F182" s="14" t="inlineStr">
        <is>
          <t>-</t>
        </is>
      </c>
      <c r="G182" s="13" t="inlineStr">
        <is>
          <t>대</t>
        </is>
      </c>
      <c r="H182" s="16" t="n">
        <v>1</v>
      </c>
      <c r="I182" s="13" t="inlineStr">
        <is>
          <t>한국조달</t>
        </is>
      </c>
      <c r="J182" s="14" t="inlineStr">
        <is>
          <t>-</t>
        </is>
      </c>
      <c r="K182" s="14" t="inlineStr">
        <is>
          <t>목장형 최소 사양</t>
        </is>
      </c>
    </row>
    <row r="183" ht="32" customHeight="1">
      <c r="A183" s="13" t="n">
        <v>179</v>
      </c>
      <c r="B183" s="14" t="inlineStr">
        <is>
          <t>F. 목장형 유가공·유질관리</t>
        </is>
      </c>
      <c r="C183" s="14" t="inlineStr">
        <is>
          <t>F-5 충전·포장</t>
        </is>
      </c>
      <c r="D183" s="15" t="inlineStr">
        <is>
          <t>요거트 컵 충전·실링기(반자동)</t>
        </is>
      </c>
      <c r="E183" s="14" t="inlineStr">
        <is>
          <t>1,000 컵/h</t>
        </is>
      </c>
      <c r="F183" s="14" t="inlineStr">
        <is>
          <t>-</t>
        </is>
      </c>
      <c r="G183" s="13" t="inlineStr">
        <is>
          <t>대</t>
        </is>
      </c>
      <c r="H183" s="16" t="n">
        <v>1</v>
      </c>
      <c r="I183" s="13" t="inlineStr">
        <is>
          <t>한국조달</t>
        </is>
      </c>
      <c r="J183" s="14" t="inlineStr">
        <is>
          <t>-</t>
        </is>
      </c>
      <c r="K183" s="14" t="inlineStr">
        <is>
          <t>-</t>
        </is>
      </c>
    </row>
    <row r="184" ht="32" customHeight="1">
      <c r="A184" s="13" t="n">
        <v>180</v>
      </c>
      <c r="B184" s="14" t="inlineStr">
        <is>
          <t>F. 목장형 유가공·유질관리</t>
        </is>
      </c>
      <c r="C184" s="14" t="inlineStr">
        <is>
          <t>F-5 충전·포장</t>
        </is>
      </c>
      <c r="D184" s="15" t="inlineStr">
        <is>
          <t>파우치 실링기</t>
        </is>
      </c>
      <c r="E184" s="14" t="inlineStr">
        <is>
          <t>우유·발효유 파우치</t>
        </is>
      </c>
      <c r="F184" s="14" t="inlineStr">
        <is>
          <t>-</t>
        </is>
      </c>
      <c r="G184" s="13" t="inlineStr">
        <is>
          <t>대</t>
        </is>
      </c>
      <c r="H184" s="16" t="n">
        <v>1</v>
      </c>
      <c r="I184" s="13" t="inlineStr">
        <is>
          <t>한국조달</t>
        </is>
      </c>
      <c r="J184" s="14" t="inlineStr">
        <is>
          <t>-</t>
        </is>
      </c>
      <c r="K184" s="14" t="inlineStr">
        <is>
          <t>현지 저가 유통 채널 대응</t>
        </is>
      </c>
    </row>
    <row r="185" ht="32" customHeight="1">
      <c r="A185" s="13" t="n">
        <v>181</v>
      </c>
      <c r="B185" s="14" t="inlineStr">
        <is>
          <t>F. 목장형 유가공·유질관리</t>
        </is>
      </c>
      <c r="C185" s="14" t="inlineStr">
        <is>
          <t>F-5 충전·포장</t>
        </is>
      </c>
      <c r="D185" s="15" t="inlineStr">
        <is>
          <t>라벨러(반자동) + 잉크젯 코더(유통기한)</t>
        </is>
      </c>
      <c r="E185" s="14" t="inlineStr">
        <is>
          <t>-</t>
        </is>
      </c>
      <c r="F185" s="14" t="inlineStr">
        <is>
          <t>-</t>
        </is>
      </c>
      <c r="G185" s="13" t="inlineStr">
        <is>
          <t>식</t>
        </is>
      </c>
      <c r="H185" s="16" t="n">
        <v>1</v>
      </c>
      <c r="I185" s="13" t="inlineStr">
        <is>
          <t>한국조달</t>
        </is>
      </c>
      <c r="J185" s="14" t="inlineStr">
        <is>
          <t>현지 표시기준 확인</t>
        </is>
      </c>
      <c r="K185" s="14" t="inlineStr">
        <is>
          <t>-</t>
        </is>
      </c>
    </row>
    <row r="186" ht="32" customHeight="1">
      <c r="A186" s="13" t="n">
        <v>182</v>
      </c>
      <c r="B186" s="14" t="inlineStr">
        <is>
          <t>F. 목장형 유가공·유질관리</t>
        </is>
      </c>
      <c r="C186" s="14" t="inlineStr">
        <is>
          <t>F-5 충전·포장</t>
        </is>
      </c>
      <c r="D186" s="15" t="inlineStr">
        <is>
          <t>박스 포장·테이핑 자재 / 핸드 파레트</t>
        </is>
      </c>
      <c r="E186" s="14" t="inlineStr">
        <is>
          <t>-</t>
        </is>
      </c>
      <c r="F186" s="14" t="inlineStr">
        <is>
          <t>-</t>
        </is>
      </c>
      <c r="G186" s="13" t="inlineStr">
        <is>
          <t>식</t>
        </is>
      </c>
      <c r="H186" s="16" t="n">
        <v>1</v>
      </c>
      <c r="I186" s="13" t="inlineStr">
        <is>
          <t>한국+현지</t>
        </is>
      </c>
      <c r="J186" s="14" t="inlineStr">
        <is>
          <t>-</t>
        </is>
      </c>
      <c r="K186" s="14" t="inlineStr">
        <is>
          <t>-</t>
        </is>
      </c>
    </row>
    <row r="187" ht="32" customHeight="1">
      <c r="A187" s="13" t="n">
        <v>183</v>
      </c>
      <c r="B187" s="14" t="inlineStr">
        <is>
          <t>F. 목장형 유가공·유질관리</t>
        </is>
      </c>
      <c r="C187" s="14" t="inlineStr">
        <is>
          <t>F-6 유틸리티</t>
        </is>
      </c>
      <c r="D187" s="15" t="inlineStr">
        <is>
          <t>CIP 세척 시스템(소형 2탱크 / 이동식)</t>
        </is>
      </c>
      <c r="E187" s="14" t="inlineStr">
        <is>
          <t>산·알칼리 / 자동 기록</t>
        </is>
      </c>
      <c r="F187" s="14" t="inlineStr">
        <is>
          <t>-</t>
        </is>
      </c>
      <c r="G187" s="13" t="inlineStr">
        <is>
          <t>식</t>
        </is>
      </c>
      <c r="H187" s="16" t="n">
        <v>1</v>
      </c>
      <c r="I187" s="13" t="inlineStr">
        <is>
          <t>한국조달</t>
        </is>
      </c>
      <c r="J187" s="14" t="inlineStr">
        <is>
          <t>-</t>
        </is>
      </c>
      <c r="K187" s="14" t="inlineStr">
        <is>
          <t>HACCP 필수</t>
        </is>
      </c>
    </row>
    <row r="188" ht="32" customHeight="1">
      <c r="A188" s="13" t="n">
        <v>184</v>
      </c>
      <c r="B188" s="14" t="inlineStr">
        <is>
          <t>F. 목장형 유가공·유질관리</t>
        </is>
      </c>
      <c r="C188" s="14" t="inlineStr">
        <is>
          <t>F-6 유틸리티</t>
        </is>
      </c>
      <c r="D188" s="15" t="inlineStr">
        <is>
          <t>스팀보일러 0.3톤/h + 증기배관</t>
        </is>
      </c>
      <c r="E188" s="14" t="inlineStr">
        <is>
          <t>-</t>
        </is>
      </c>
      <c r="F188" s="14" t="inlineStr">
        <is>
          <t>-</t>
        </is>
      </c>
      <c r="G188" s="13" t="inlineStr">
        <is>
          <t>식</t>
        </is>
      </c>
      <c r="H188" s="16" t="n">
        <v>1</v>
      </c>
      <c r="I188" s="13" t="inlineStr">
        <is>
          <t>한국조달</t>
        </is>
      </c>
      <c r="J188" s="14" t="inlineStr">
        <is>
          <t>연료(가스·경유) 공급 방식 현지 확인</t>
        </is>
      </c>
      <c r="K188" s="14" t="inlineStr">
        <is>
          <t>-</t>
        </is>
      </c>
    </row>
    <row r="189" ht="32" customHeight="1">
      <c r="A189" s="13" t="n">
        <v>185</v>
      </c>
      <c r="B189" s="14" t="inlineStr">
        <is>
          <t>F. 목장형 유가공·유질관리</t>
        </is>
      </c>
      <c r="C189" s="14" t="inlineStr">
        <is>
          <t>F-6 유틸리티</t>
        </is>
      </c>
      <c r="D189" s="15" t="inlineStr">
        <is>
          <t>냉동기(칠러) 30RT + 냉수탱크</t>
        </is>
      </c>
      <c r="E189" s="14" t="inlineStr">
        <is>
          <t>-</t>
        </is>
      </c>
      <c r="F189" s="14" t="inlineStr">
        <is>
          <t>-</t>
        </is>
      </c>
      <c r="G189" s="13" t="inlineStr">
        <is>
          <t>식</t>
        </is>
      </c>
      <c r="H189" s="16" t="n">
        <v>1</v>
      </c>
      <c r="I189" s="13" t="inlineStr">
        <is>
          <t>한국조달</t>
        </is>
      </c>
      <c r="J189" s="14" t="inlineStr">
        <is>
          <t>-</t>
        </is>
      </c>
      <c r="K189" s="14" t="inlineStr">
        <is>
          <t>-</t>
        </is>
      </c>
    </row>
    <row r="190" ht="32" customHeight="1">
      <c r="A190" s="13" t="n">
        <v>186</v>
      </c>
      <c r="B190" s="14" t="inlineStr">
        <is>
          <t>F. 목장형 유가공·유질관리</t>
        </is>
      </c>
      <c r="C190" s="14" t="inlineStr">
        <is>
          <t>F-6 유틸리티</t>
        </is>
      </c>
      <c r="D190" s="15" t="inlineStr">
        <is>
          <t>공기압축기(오일프리) + 에어드라이어</t>
        </is>
      </c>
      <c r="E190" s="14" t="inlineStr">
        <is>
          <t>-</t>
        </is>
      </c>
      <c r="F190" s="14" t="inlineStr">
        <is>
          <t>-</t>
        </is>
      </c>
      <c r="G190" s="13" t="inlineStr">
        <is>
          <t>식</t>
        </is>
      </c>
      <c r="H190" s="16" t="n">
        <v>1</v>
      </c>
      <c r="I190" s="13" t="inlineStr">
        <is>
          <t>한국조달</t>
        </is>
      </c>
      <c r="J190" s="14" t="inlineStr">
        <is>
          <t>-</t>
        </is>
      </c>
      <c r="K190" s="14" t="inlineStr">
        <is>
          <t>-</t>
        </is>
      </c>
    </row>
    <row r="191" ht="32" customHeight="1">
      <c r="A191" s="13" t="n">
        <v>187</v>
      </c>
      <c r="B191" s="14" t="inlineStr">
        <is>
          <t>F. 목장형 유가공·유질관리</t>
        </is>
      </c>
      <c r="C191" s="14" t="inlineStr">
        <is>
          <t>F-6 유틸리티</t>
        </is>
      </c>
      <c r="D191" s="15" t="inlineStr">
        <is>
          <t>연수·정수설비 3톤/h</t>
        </is>
      </c>
      <c r="E191" s="14" t="inlineStr">
        <is>
          <t>경도·철분 제거</t>
        </is>
      </c>
      <c r="F191" s="14" t="inlineStr">
        <is>
          <t>-</t>
        </is>
      </c>
      <c r="G191" s="13" t="inlineStr">
        <is>
          <t>식</t>
        </is>
      </c>
      <c r="H191" s="16" t="n">
        <v>1</v>
      </c>
      <c r="I191" s="13" t="inlineStr">
        <is>
          <t>한국조달</t>
        </is>
      </c>
      <c r="J191" s="14" t="inlineStr">
        <is>
          <t>원수 수질 분석 후 사양 확정</t>
        </is>
      </c>
      <c r="K191" s="14" t="inlineStr">
        <is>
          <t>★ 우즈벡 원수 경도 높음 — 수질분석 선행 필수</t>
        </is>
      </c>
    </row>
    <row r="192" ht="32" customHeight="1">
      <c r="A192" s="13" t="n">
        <v>188</v>
      </c>
      <c r="B192" s="14" t="inlineStr">
        <is>
          <t>F. 목장형 유가공·유질관리</t>
        </is>
      </c>
      <c r="C192" s="14" t="inlineStr">
        <is>
          <t>F-6 유틸리티</t>
        </is>
      </c>
      <c r="D192" s="15" t="inlineStr">
        <is>
          <t>냉장창고 0~4℃</t>
        </is>
      </c>
      <c r="E192" s="14" t="inlineStr">
        <is>
          <t>40㎡ / 온도기록</t>
        </is>
      </c>
      <c r="F192" s="14" t="inlineStr">
        <is>
          <t>-</t>
        </is>
      </c>
      <c r="G192" s="13" t="inlineStr">
        <is>
          <t>식</t>
        </is>
      </c>
      <c r="H192" s="16" t="n">
        <v>1</v>
      </c>
      <c r="I192" s="13" t="inlineStr">
        <is>
          <t>한국조달</t>
        </is>
      </c>
      <c r="J192" s="14" t="inlineStr">
        <is>
          <t>비상발전 연동</t>
        </is>
      </c>
      <c r="K192" s="14" t="inlineStr">
        <is>
          <t>-</t>
        </is>
      </c>
    </row>
    <row r="193" ht="32" customHeight="1">
      <c r="A193" s="13" t="n">
        <v>189</v>
      </c>
      <c r="B193" s="14" t="inlineStr">
        <is>
          <t>F. 목장형 유가공·유질관리</t>
        </is>
      </c>
      <c r="C193" s="14" t="inlineStr">
        <is>
          <t>F-6 유틸리티</t>
        </is>
      </c>
      <c r="D193" s="15" t="inlineStr">
        <is>
          <t>냉동창고 -20℃</t>
        </is>
      </c>
      <c r="E193" s="14" t="inlineStr">
        <is>
          <t>15㎡</t>
        </is>
      </c>
      <c r="F193" s="14" t="inlineStr">
        <is>
          <t>-</t>
        </is>
      </c>
      <c r="G193" s="13" t="inlineStr">
        <is>
          <t>식</t>
        </is>
      </c>
      <c r="H193" s="16" t="n">
        <v>1</v>
      </c>
      <c r="I193" s="13" t="inlineStr">
        <is>
          <t>한국조달</t>
        </is>
      </c>
      <c r="J193" s="14" t="inlineStr">
        <is>
          <t>-</t>
        </is>
      </c>
      <c r="K193" s="14" t="inlineStr">
        <is>
          <t>-</t>
        </is>
      </c>
    </row>
    <row r="194" ht="32" customHeight="1">
      <c r="A194" s="13" t="n">
        <v>190</v>
      </c>
      <c r="B194" s="14" t="inlineStr">
        <is>
          <t>F. 목장형 유가공·유질관리</t>
        </is>
      </c>
      <c r="C194" s="14" t="inlineStr">
        <is>
          <t>F-6 유틸리티</t>
        </is>
      </c>
      <c r="D194" s="15" t="inlineStr">
        <is>
          <t>위생배관(SUS316L)·밸브·설치·시운전·운전교육</t>
        </is>
      </c>
      <c r="E194" s="14" t="inlineStr">
        <is>
          <t>라인 전체</t>
        </is>
      </c>
      <c r="F194" s="14" t="inlineStr">
        <is>
          <t>-</t>
        </is>
      </c>
      <c r="G194" s="13" t="inlineStr">
        <is>
          <t>식</t>
        </is>
      </c>
      <c r="H194" s="16" t="n">
        <v>1</v>
      </c>
      <c r="I194" s="13" t="inlineStr">
        <is>
          <t>한국조달</t>
        </is>
      </c>
      <c r="J194" s="14" t="inlineStr">
        <is>
          <t>-</t>
        </is>
      </c>
      <c r="K194" s="14" t="inlineStr">
        <is>
          <t>-</t>
        </is>
      </c>
    </row>
    <row r="195" ht="32" customHeight="1">
      <c r="A195" s="13" t="n">
        <v>191</v>
      </c>
      <c r="B195" s="14" t="inlineStr">
        <is>
          <t>F. 목장형 유가공·유질관리</t>
        </is>
      </c>
      <c r="C195" s="14" t="inlineStr">
        <is>
          <t>F-7 환경·물류</t>
        </is>
      </c>
      <c r="D195" s="15" t="inlineStr">
        <is>
          <t>유청(Whey) 회수·처리 설비(소형)</t>
        </is>
      </c>
      <c r="E195" s="14" t="inlineStr">
        <is>
          <t>음료화 또는 사료화 / 폐수부하 저감</t>
        </is>
      </c>
      <c r="F195" s="14" t="inlineStr">
        <is>
          <t>-</t>
        </is>
      </c>
      <c r="G195" s="13" t="inlineStr">
        <is>
          <t>식</t>
        </is>
      </c>
      <c r="H195" s="16" t="n">
        <v>1</v>
      </c>
      <c r="I195" s="13" t="inlineStr">
        <is>
          <t>한국조달</t>
        </is>
      </c>
      <c r="J195" s="14" t="inlineStr">
        <is>
          <t>폐수처리 부하 경감</t>
        </is>
      </c>
      <c r="K195" s="14" t="inlineStr">
        <is>
          <t>★ 원본 누락. 유청 미처리 시 폐수처리 부하가 2배</t>
        </is>
      </c>
    </row>
    <row r="196" ht="32" customHeight="1">
      <c r="A196" s="13" t="n">
        <v>192</v>
      </c>
      <c r="B196" s="14" t="inlineStr">
        <is>
          <t>F. 목장형 유가공·유질관리</t>
        </is>
      </c>
      <c r="C196" s="14" t="inlineStr">
        <is>
          <t>F-7 환경·물류</t>
        </is>
      </c>
      <c r="D196" s="15" t="inlineStr">
        <is>
          <t>유가공 폐수처리설비</t>
        </is>
      </c>
      <c r="E196" s="14" t="inlineStr">
        <is>
          <t>15톤/일 / 유수분리 + 생물학적 처리</t>
        </is>
      </c>
      <c r="F196" s="14" t="inlineStr">
        <is>
          <t>-</t>
        </is>
      </c>
      <c r="G196" s="13" t="inlineStr">
        <is>
          <t>식</t>
        </is>
      </c>
      <c r="H196" s="16" t="n">
        <v>1</v>
      </c>
      <c r="I196" s="13" t="inlineStr">
        <is>
          <t>한국+현지</t>
        </is>
      </c>
      <c r="J196" s="14" t="inlineStr">
        <is>
          <t>현지 환경기준 확인</t>
        </is>
      </c>
      <c r="K196" s="14" t="inlineStr">
        <is>
          <t>-</t>
        </is>
      </c>
    </row>
    <row r="197" ht="32" customHeight="1">
      <c r="A197" s="13" t="n">
        <v>193</v>
      </c>
      <c r="B197" s="14" t="inlineStr">
        <is>
          <t>F. 목장형 유가공·유질관리</t>
        </is>
      </c>
      <c r="C197" s="14" t="inlineStr">
        <is>
          <t>F-7 환경·물류</t>
        </is>
      </c>
      <c r="D197" s="15" t="inlineStr">
        <is>
          <t>공장 위생자재(위생복·장화·손소독기)</t>
        </is>
      </c>
      <c r="E197" s="14" t="inlineStr">
        <is>
          <t>-</t>
        </is>
      </c>
      <c r="F197" s="14" t="inlineStr">
        <is>
          <t>-</t>
        </is>
      </c>
      <c r="G197" s="13" t="inlineStr">
        <is>
          <t>식</t>
        </is>
      </c>
      <c r="H197" s="16" t="n">
        <v>1</v>
      </c>
      <c r="I197" s="13" t="inlineStr">
        <is>
          <t>한국조달</t>
        </is>
      </c>
      <c r="J197" s="14" t="inlineStr">
        <is>
          <t>-</t>
        </is>
      </c>
      <c r="K197" s="14" t="inlineStr">
        <is>
          <t>-</t>
        </is>
      </c>
    </row>
    <row r="198" ht="32" customHeight="1">
      <c r="A198" s="13" t="n">
        <v>194</v>
      </c>
      <c r="B198" s="14" t="inlineStr">
        <is>
          <t>F. 목장형 유가공·유질관리</t>
        </is>
      </c>
      <c r="C198" s="14" t="inlineStr">
        <is>
          <t>F-7 환경·물류</t>
        </is>
      </c>
      <c r="D198" s="15" t="inlineStr">
        <is>
          <t>냉장 배송차량 1톤</t>
        </is>
      </c>
      <c r="E198" s="14" t="inlineStr">
        <is>
          <t>냉동기 장착 / 온도기록계 / -5~10℃</t>
        </is>
      </c>
      <c r="F198" s="14" t="inlineStr">
        <is>
          <t>-</t>
        </is>
      </c>
      <c r="G198" s="13" t="inlineStr">
        <is>
          <t>대</t>
        </is>
      </c>
      <c r="H198" s="16" t="n">
        <v>1</v>
      </c>
      <c r="I198" s="13" t="inlineStr">
        <is>
          <t>한국+현지</t>
        </is>
      </c>
      <c r="J198" s="14" t="inlineStr">
        <is>
          <t>냉장창고 접안</t>
        </is>
      </c>
      <c r="K198" s="14" t="inlineStr">
        <is>
          <t>콜드체인 확보가 브랜드 신뢰의 출발점</t>
        </is>
      </c>
    </row>
    <row r="199" ht="32" customHeight="1">
      <c r="A199" s="13" t="n">
        <v>195</v>
      </c>
      <c r="B199" s="14" t="inlineStr">
        <is>
          <t>F. 목장형 유가공·유질관리</t>
        </is>
      </c>
      <c r="C199" s="14" t="inlineStr">
        <is>
          <t>F-7 환경·물류</t>
        </is>
      </c>
      <c r="D199" s="15" t="inlineStr">
        <is>
          <t>유가공 설비 예비부품</t>
        </is>
      </c>
      <c r="E199" s="14" t="inlineStr">
        <is>
          <t>개스킷·밸브·펌프씰·판형열교환기 판 / 2년 소요량</t>
        </is>
      </c>
      <c r="F199" s="14" t="inlineStr">
        <is>
          <t>-</t>
        </is>
      </c>
      <c r="G199" s="13" t="inlineStr">
        <is>
          <t>식</t>
        </is>
      </c>
      <c r="H199" s="16" t="n">
        <v>1</v>
      </c>
      <c r="I199" s="13" t="inlineStr">
        <is>
          <t>한국조달</t>
        </is>
      </c>
      <c r="J199" s="14" t="inlineStr">
        <is>
          <t>-</t>
        </is>
      </c>
      <c r="K199" s="14" t="inlineStr">
        <is>
          <t>★ 원본 누락</t>
        </is>
      </c>
    </row>
    <row r="200" ht="32" customHeight="1">
      <c r="A200" s="13" t="n">
        <v>196</v>
      </c>
      <c r="B200" s="14" t="inlineStr">
        <is>
          <t>F. 목장형 유가공·유질관리</t>
        </is>
      </c>
      <c r="C200" s="14" t="inlineStr">
        <is>
          <t>F-8 유질검사</t>
        </is>
      </c>
      <c r="D200" s="15" t="inlineStr">
        <is>
          <t>원유 유성분 분석기</t>
        </is>
      </c>
      <c r="E200" s="14" t="inlineStr">
        <is>
          <t>지방·단백·유당·고형분·MUN / 적외선식</t>
        </is>
      </c>
      <c r="F200" s="14" t="inlineStr">
        <is>
          <t>MilkoScan / LactoScan 급</t>
        </is>
      </c>
      <c r="G200" s="13" t="inlineStr">
        <is>
          <t>대</t>
        </is>
      </c>
      <c r="H200" s="16" t="n">
        <v>1</v>
      </c>
      <c r="I200" s="13" t="inlineStr">
        <is>
          <t>한국조달</t>
        </is>
      </c>
      <c r="J200" s="14" t="inlineStr">
        <is>
          <t>개체별 성적관리 연동</t>
        </is>
      </c>
      <c r="K200" s="14" t="inlineStr">
        <is>
          <t>★ 원본 '원유유성분분석기' 반영</t>
        </is>
      </c>
    </row>
    <row r="201" ht="32" customHeight="1">
      <c r="A201" s="13" t="n">
        <v>197</v>
      </c>
      <c r="B201" s="14" t="inlineStr">
        <is>
          <t>F. 목장형 유가공·유질관리</t>
        </is>
      </c>
      <c r="C201" s="14" t="inlineStr">
        <is>
          <t>F-8 유질검사</t>
        </is>
      </c>
      <c r="D201" s="15" t="inlineStr">
        <is>
          <t>체세포 측정기</t>
        </is>
      </c>
      <c r="E201" s="14" t="inlineStr">
        <is>
          <t>형광 이미지식 / 개체별 측정</t>
        </is>
      </c>
      <c r="F201" s="14" t="inlineStr">
        <is>
          <t>DCC / Fossomatic 급</t>
        </is>
      </c>
      <c r="G201" s="13" t="inlineStr">
        <is>
          <t>대</t>
        </is>
      </c>
      <c r="H201" s="16" t="n">
        <v>1</v>
      </c>
      <c r="I201" s="13" t="inlineStr">
        <is>
          <t>한국조달</t>
        </is>
      </c>
      <c r="J201" s="14" t="inlineStr">
        <is>
          <t>유방염 관리 프로그램 연동</t>
        </is>
      </c>
      <c r="K201" s="14" t="inlineStr">
        <is>
          <t>★ 원본 '체세포 및 세균수 측정기' 분리 반영</t>
        </is>
      </c>
    </row>
    <row r="202" ht="32" customHeight="1">
      <c r="A202" s="13" t="n">
        <v>198</v>
      </c>
      <c r="B202" s="14" t="inlineStr">
        <is>
          <t>F. 목장형 유가공·유질관리</t>
        </is>
      </c>
      <c r="C202" s="14" t="inlineStr">
        <is>
          <t>F-8 유질검사</t>
        </is>
      </c>
      <c r="D202" s="15" t="inlineStr">
        <is>
          <t>세균수 측정기</t>
        </is>
      </c>
      <c r="E202" s="14" t="inlineStr">
        <is>
          <t>총균수 자동측정</t>
        </is>
      </c>
      <c r="F202" s="14" t="inlineStr">
        <is>
          <t>BactoScan 급</t>
        </is>
      </c>
      <c r="G202" s="13" t="inlineStr">
        <is>
          <t>대</t>
        </is>
      </c>
      <c r="H202" s="16" t="n">
        <v>1</v>
      </c>
      <c r="I202" s="13" t="inlineStr">
        <is>
          <t>한국조달</t>
        </is>
      </c>
      <c r="J202" s="14" t="inlineStr">
        <is>
          <t>-</t>
        </is>
      </c>
      <c r="K202" s="14" t="inlineStr">
        <is>
          <t>★ 원본 '체세포 및 세균수 측정기' 분리 반영</t>
        </is>
      </c>
    </row>
    <row r="203" ht="32" customHeight="1">
      <c r="A203" s="13" t="n">
        <v>199</v>
      </c>
      <c r="B203" s="14" t="inlineStr">
        <is>
          <t>F. 목장형 유가공·유질관리</t>
        </is>
      </c>
      <c r="C203" s="14" t="inlineStr">
        <is>
          <t>F-8 유질검사</t>
        </is>
      </c>
      <c r="D203" s="15" t="inlineStr">
        <is>
          <t>원유 잔류물질(항생물질) 검사기 + 키트</t>
        </is>
      </c>
      <c r="E203" s="14" t="inlineStr">
        <is>
          <t>β-lactam / Tetracycline 스크리닝</t>
        </is>
      </c>
      <c r="F203" s="14" t="inlineStr">
        <is>
          <t>Charm / Delvotest 급</t>
        </is>
      </c>
      <c r="G203" s="13" t="inlineStr">
        <is>
          <t>식</t>
        </is>
      </c>
      <c r="H203" s="16" t="n">
        <v>1</v>
      </c>
      <c r="I203" s="13" t="inlineStr">
        <is>
          <t>한국조달</t>
        </is>
      </c>
      <c r="J203" s="14" t="inlineStr">
        <is>
          <t>전 배치 검사 체계</t>
        </is>
      </c>
      <c r="K203" s="14" t="inlineStr">
        <is>
          <t>★ 원본 '원유 잔류물질 검사기' 반영</t>
        </is>
      </c>
    </row>
    <row r="204" ht="32" customHeight="1">
      <c r="A204" s="13" t="n">
        <v>200</v>
      </c>
      <c r="B204" s="14" t="inlineStr">
        <is>
          <t>F. 목장형 유가공·유질관리</t>
        </is>
      </c>
      <c r="C204" s="14" t="inlineStr">
        <is>
          <t>F-8 유질검사</t>
        </is>
      </c>
      <c r="D204" s="15" t="inlineStr">
        <is>
          <t>원유 가수(빙점) 분석기</t>
        </is>
      </c>
      <c r="E204" s="14" t="inlineStr">
        <is>
          <t>Cryoscope / ±0.001℃</t>
        </is>
      </c>
      <c r="F204" s="14" t="inlineStr">
        <is>
          <t>-</t>
        </is>
      </c>
      <c r="G204" s="13" t="inlineStr">
        <is>
          <t>대</t>
        </is>
      </c>
      <c r="H204" s="16" t="n">
        <v>1</v>
      </c>
      <c r="I204" s="13" t="inlineStr">
        <is>
          <t>한국조달</t>
        </is>
      </c>
      <c r="J204" s="14" t="inlineStr">
        <is>
          <t>-</t>
        </is>
      </c>
      <c r="K204" s="14" t="inlineStr">
        <is>
          <t>★ 원본 '원유 가수 분석기' 반영</t>
        </is>
      </c>
    </row>
    <row r="205" ht="32" customHeight="1">
      <c r="A205" s="13" t="n">
        <v>201</v>
      </c>
      <c r="B205" s="14" t="inlineStr">
        <is>
          <t>F. 목장형 유가공·유질관리</t>
        </is>
      </c>
      <c r="C205" s="14" t="inlineStr">
        <is>
          <t>F-9 이화학·미생물</t>
        </is>
      </c>
      <c r="D205" s="15" t="inlineStr">
        <is>
          <t>유제품 pH 측정기</t>
        </is>
      </c>
      <c r="E205" s="14" t="inlineStr">
        <is>
          <t>±0.01 / 온도보정</t>
        </is>
      </c>
      <c r="F205" s="14" t="inlineStr">
        <is>
          <t>-</t>
        </is>
      </c>
      <c r="G205" s="13" t="inlineStr">
        <is>
          <t>대</t>
        </is>
      </c>
      <c r="H205" s="16" t="n">
        <v>3</v>
      </c>
      <c r="I205" s="13" t="inlineStr">
        <is>
          <t>한국조달</t>
        </is>
      </c>
      <c r="J205" s="14" t="inlineStr">
        <is>
          <t>-</t>
        </is>
      </c>
      <c r="K205" s="14" t="inlineStr">
        <is>
          <t>★ 원본 리스트 그대로 반영</t>
        </is>
      </c>
    </row>
    <row r="206" ht="32" customHeight="1">
      <c r="A206" s="13" t="n">
        <v>202</v>
      </c>
      <c r="B206" s="14" t="inlineStr">
        <is>
          <t>F. 목장형 유가공·유질관리</t>
        </is>
      </c>
      <c r="C206" s="14" t="inlineStr">
        <is>
          <t>F-9 이화학·미생물</t>
        </is>
      </c>
      <c r="D206" s="15" t="inlineStr">
        <is>
          <t>뷰렛(산도 적정 세트)</t>
        </is>
      </c>
      <c r="E206" s="14" t="inlineStr">
        <is>
          <t>25ml 자동뷰렛 + 시약</t>
        </is>
      </c>
      <c r="F206" s="14" t="inlineStr">
        <is>
          <t>-</t>
        </is>
      </c>
      <c r="G206" s="13" t="inlineStr">
        <is>
          <t>식</t>
        </is>
      </c>
      <c r="H206" s="16" t="n">
        <v>5</v>
      </c>
      <c r="I206" s="13" t="inlineStr">
        <is>
          <t>한국조달</t>
        </is>
      </c>
      <c r="J206" s="14" t="inlineStr">
        <is>
          <t>-</t>
        </is>
      </c>
      <c r="K206" s="14" t="inlineStr">
        <is>
          <t>★ 원본 리스트 그대로 반영</t>
        </is>
      </c>
    </row>
    <row r="207" ht="32" customHeight="1">
      <c r="A207" s="13" t="n">
        <v>203</v>
      </c>
      <c r="B207" s="14" t="inlineStr">
        <is>
          <t>F. 목장형 유가공·유질관리</t>
        </is>
      </c>
      <c r="C207" s="14" t="inlineStr">
        <is>
          <t>F-9 이화학·미생물</t>
        </is>
      </c>
      <c r="D207" s="15" t="inlineStr">
        <is>
          <t>알코올 반응용 시험관</t>
        </is>
      </c>
      <c r="E207" s="14" t="inlineStr">
        <is>
          <t>68~72% 알코올 시험용 / 1box</t>
        </is>
      </c>
      <c r="F207" s="14" t="inlineStr">
        <is>
          <t>-</t>
        </is>
      </c>
      <c r="G207" s="13" t="inlineStr">
        <is>
          <t>box</t>
        </is>
      </c>
      <c r="H207" s="16" t="n">
        <v>10</v>
      </c>
      <c r="I207" s="13" t="inlineStr">
        <is>
          <t>한국조달</t>
        </is>
      </c>
      <c r="J207" s="14" t="inlineStr">
        <is>
          <t>-</t>
        </is>
      </c>
      <c r="K207" s="14" t="inlineStr">
        <is>
          <t>★ 원본 리스트 그대로 반영</t>
        </is>
      </c>
    </row>
    <row r="208" ht="32" customHeight="1">
      <c r="A208" s="13" t="n">
        <v>204</v>
      </c>
      <c r="B208" s="14" t="inlineStr">
        <is>
          <t>F. 목장형 유가공·유질관리</t>
        </is>
      </c>
      <c r="C208" s="14" t="inlineStr">
        <is>
          <t>F-9 이화학·미생물</t>
        </is>
      </c>
      <c r="D208" s="15" t="inlineStr">
        <is>
          <t>유지방 측정(게르버) 세트</t>
        </is>
      </c>
      <c r="E208" s="14" t="inlineStr">
        <is>
          <t>원심분리기·부티로미터·시약</t>
        </is>
      </c>
      <c r="F208" s="14" t="inlineStr">
        <is>
          <t>-</t>
        </is>
      </c>
      <c r="G208" s="13" t="inlineStr">
        <is>
          <t>식</t>
        </is>
      </c>
      <c r="H208" s="16" t="n">
        <v>1</v>
      </c>
      <c r="I208" s="13" t="inlineStr">
        <is>
          <t>한국조달</t>
        </is>
      </c>
      <c r="J208" s="14" t="inlineStr">
        <is>
          <t>-</t>
        </is>
      </c>
      <c r="K208" s="14" t="inlineStr">
        <is>
          <t>현지 표준 검사법 병행</t>
        </is>
      </c>
    </row>
    <row r="209" ht="32" customHeight="1">
      <c r="A209" s="13" t="n">
        <v>205</v>
      </c>
      <c r="B209" s="14" t="inlineStr">
        <is>
          <t>F. 목장형 유가공·유질관리</t>
        </is>
      </c>
      <c r="C209" s="14" t="inlineStr">
        <is>
          <t>F-9 이화학·미생물</t>
        </is>
      </c>
      <c r="D209" s="15" t="inlineStr">
        <is>
          <t>미생물 배양기(인큐베이터)</t>
        </is>
      </c>
      <c r="E209" s="14" t="inlineStr">
        <is>
          <t>-</t>
        </is>
      </c>
      <c r="F209" s="14" t="inlineStr">
        <is>
          <t>-</t>
        </is>
      </c>
      <c r="G209" s="13" t="inlineStr">
        <is>
          <t>대</t>
        </is>
      </c>
      <c r="H209" s="16" t="n">
        <v>2</v>
      </c>
      <c r="I209" s="13" t="inlineStr">
        <is>
          <t>한국조달</t>
        </is>
      </c>
      <c r="J209" s="14" t="inlineStr">
        <is>
          <t>-</t>
        </is>
      </c>
      <c r="K209" s="14" t="inlineStr">
        <is>
          <t>유가공 HACCP 필수 — 원본 보완</t>
        </is>
      </c>
    </row>
    <row r="210" ht="32" customHeight="1">
      <c r="A210" s="13" t="n">
        <v>206</v>
      </c>
      <c r="B210" s="14" t="inlineStr">
        <is>
          <t>F. 목장형 유가공·유질관리</t>
        </is>
      </c>
      <c r="C210" s="14" t="inlineStr">
        <is>
          <t>F-9 이화학·미생물</t>
        </is>
      </c>
      <c r="D210" s="15" t="inlineStr">
        <is>
          <t>오토클레이브(고압멸균기)</t>
        </is>
      </c>
      <c r="E210" s="14" t="inlineStr">
        <is>
          <t>-</t>
        </is>
      </c>
      <c r="F210" s="14" t="inlineStr">
        <is>
          <t>-</t>
        </is>
      </c>
      <c r="G210" s="13" t="inlineStr">
        <is>
          <t>대</t>
        </is>
      </c>
      <c r="H210" s="16" t="n">
        <v>1</v>
      </c>
      <c r="I210" s="13" t="inlineStr">
        <is>
          <t>한국조달</t>
        </is>
      </c>
      <c r="J210" s="14" t="inlineStr">
        <is>
          <t>-</t>
        </is>
      </c>
      <c r="K210" s="14" t="inlineStr">
        <is>
          <t>-</t>
        </is>
      </c>
    </row>
    <row r="211" ht="32" customHeight="1">
      <c r="A211" s="13" t="n">
        <v>207</v>
      </c>
      <c r="B211" s="14" t="inlineStr">
        <is>
          <t>F. 목장형 유가공·유질관리</t>
        </is>
      </c>
      <c r="C211" s="14" t="inlineStr">
        <is>
          <t>F-9 이화학·미생물</t>
        </is>
      </c>
      <c r="D211" s="15" t="inlineStr">
        <is>
          <t>클린벤치(QC용)</t>
        </is>
      </c>
      <c r="E211" s="14" t="inlineStr">
        <is>
          <t>-</t>
        </is>
      </c>
      <c r="F211" s="14" t="inlineStr">
        <is>
          <t>-</t>
        </is>
      </c>
      <c r="G211" s="13" t="inlineStr">
        <is>
          <t>대</t>
        </is>
      </c>
      <c r="H211" s="16" t="n">
        <v>1</v>
      </c>
      <c r="I211" s="13" t="inlineStr">
        <is>
          <t>한국조달</t>
        </is>
      </c>
      <c r="J211" s="14" t="inlineStr">
        <is>
          <t>-</t>
        </is>
      </c>
      <c r="K211" s="14" t="inlineStr">
        <is>
          <t>-</t>
        </is>
      </c>
    </row>
    <row r="212" ht="32" customHeight="1">
      <c r="A212" s="13" t="n">
        <v>208</v>
      </c>
      <c r="B212" s="14" t="inlineStr">
        <is>
          <t>F. 목장형 유가공·유질관리</t>
        </is>
      </c>
      <c r="C212" s="14" t="inlineStr">
        <is>
          <t>F-9 이화학·미생물</t>
        </is>
      </c>
      <c r="D212" s="15" t="inlineStr">
        <is>
          <t>콜로니 카운터</t>
        </is>
      </c>
      <c r="E212" s="14" t="inlineStr">
        <is>
          <t>-</t>
        </is>
      </c>
      <c r="F212" s="14" t="inlineStr">
        <is>
          <t>-</t>
        </is>
      </c>
      <c r="G212" s="13" t="inlineStr">
        <is>
          <t>대</t>
        </is>
      </c>
      <c r="H212" s="16" t="n">
        <v>1</v>
      </c>
      <c r="I212" s="13" t="inlineStr">
        <is>
          <t>한국조달</t>
        </is>
      </c>
      <c r="J212" s="14" t="inlineStr">
        <is>
          <t>-</t>
        </is>
      </c>
      <c r="K212" s="14" t="inlineStr">
        <is>
          <t>-</t>
        </is>
      </c>
    </row>
    <row r="213" ht="32" customHeight="1">
      <c r="A213" s="13" t="n">
        <v>209</v>
      </c>
      <c r="B213" s="14" t="inlineStr">
        <is>
          <t>F. 목장형 유가공·유질관리</t>
        </is>
      </c>
      <c r="C213" s="14" t="inlineStr">
        <is>
          <t>F-9 이화학·미생물</t>
        </is>
      </c>
      <c r="D213" s="15" t="inlineStr">
        <is>
          <t>항온수조·건조기·정밀저울(0.1mg)·원심분리기</t>
        </is>
      </c>
      <c r="E213" s="14" t="inlineStr">
        <is>
          <t>-</t>
        </is>
      </c>
      <c r="F213" s="14" t="inlineStr">
        <is>
          <t>-</t>
        </is>
      </c>
      <c r="G213" s="13" t="inlineStr">
        <is>
          <t>식</t>
        </is>
      </c>
      <c r="H213" s="16" t="n">
        <v>1</v>
      </c>
      <c r="I213" s="13" t="inlineStr">
        <is>
          <t>한국조달</t>
        </is>
      </c>
      <c r="J213" s="14" t="inlineStr">
        <is>
          <t>-</t>
        </is>
      </c>
      <c r="K213" s="14" t="inlineStr">
        <is>
          <t>-</t>
        </is>
      </c>
    </row>
    <row r="214" ht="32" customHeight="1">
      <c r="A214" s="13" t="n">
        <v>210</v>
      </c>
      <c r="B214" s="14" t="inlineStr">
        <is>
          <t>F. 목장형 유가공·유질관리</t>
        </is>
      </c>
      <c r="C214" s="14" t="inlineStr">
        <is>
          <t>F-9 이화학·미생물</t>
        </is>
      </c>
      <c r="D214" s="15" t="inlineStr">
        <is>
          <t>시험실 가구·흄후드·세척대</t>
        </is>
      </c>
      <c r="E214" s="14" t="inlineStr">
        <is>
          <t>-</t>
        </is>
      </c>
      <c r="F214" s="14" t="inlineStr">
        <is>
          <t>-</t>
        </is>
      </c>
      <c r="G214" s="13" t="inlineStr">
        <is>
          <t>식</t>
        </is>
      </c>
      <c r="H214" s="16" t="n">
        <v>1</v>
      </c>
      <c r="I214" s="13" t="inlineStr">
        <is>
          <t>한국조달</t>
        </is>
      </c>
      <c r="J214" s="14" t="inlineStr">
        <is>
          <t>-</t>
        </is>
      </c>
      <c r="K214" s="14" t="inlineStr">
        <is>
          <t>-</t>
        </is>
      </c>
    </row>
    <row r="215" ht="32" customHeight="1">
      <c r="A215" s="13" t="n">
        <v>211</v>
      </c>
      <c r="B215" s="14" t="inlineStr">
        <is>
          <t>F. 목장형 유가공·유질관리</t>
        </is>
      </c>
      <c r="C215" s="14" t="inlineStr">
        <is>
          <t>F-9 이화학·미생물</t>
        </is>
      </c>
      <c r="D215" s="15" t="inlineStr">
        <is>
          <t>시약·배지·검사 소모품</t>
        </is>
      </c>
      <c r="E215" s="14" t="inlineStr">
        <is>
          <t>1년 소요량 / 현지 반복조달 경로 확보</t>
        </is>
      </c>
      <c r="F215" s="14" t="inlineStr">
        <is>
          <t>-</t>
        </is>
      </c>
      <c r="G215" s="13" t="inlineStr">
        <is>
          <t>식</t>
        </is>
      </c>
      <c r="H215" s="16" t="n">
        <v>1</v>
      </c>
      <c r="I215" s="13" t="inlineStr">
        <is>
          <t>한국+현지</t>
        </is>
      </c>
      <c r="J215" s="14" t="inlineStr">
        <is>
          <t>-</t>
        </is>
      </c>
      <c r="K215" s="18" t="inlineStr">
        <is>
          <t>▲ 소모품 조달선이 없으면 장비가 멈춥니다</t>
        </is>
      </c>
    </row>
    <row r="216" ht="32" customHeight="1">
      <c r="A216" s="13" t="n">
        <v>212</v>
      </c>
      <c r="B216" s="14" t="inlineStr">
        <is>
          <t>F. 목장형 유가공·유질관리</t>
        </is>
      </c>
      <c r="C216" s="14" t="inlineStr">
        <is>
          <t>F-10 유질관리 체계</t>
        </is>
      </c>
      <c r="D216" s="15" t="inlineStr">
        <is>
          <t>유질 관리 시스템(SW)</t>
        </is>
      </c>
      <c r="E216" s="14" t="inlineStr">
        <is>
          <t>개체별 체세포·유성분 이력 / 유방염 관리 / 원유 등급·출하 이력 / 검사결과 대장</t>
        </is>
      </c>
      <c r="F216" s="14" t="inlineStr">
        <is>
          <t>-</t>
        </is>
      </c>
      <c r="G216" s="13" t="inlineStr">
        <is>
          <t>식</t>
        </is>
      </c>
      <c r="H216" s="16" t="n">
        <v>1</v>
      </c>
      <c r="I216" s="13" t="inlineStr">
        <is>
          <t>한국조달</t>
        </is>
      </c>
      <c r="J216" s="14" t="inlineStr">
        <is>
          <t>개체번호 체계(A·B·E군) 일치 / 유성분·체세포 분석기 연동</t>
        </is>
      </c>
      <c r="K216" s="17" t="inlineStr">
        <is>
          <t>★★ 회장님 지시 '유질 검사 및 관리 시스템' — 장비만으로는 관리가 되지 않습니다</t>
        </is>
      </c>
    </row>
    <row r="217" ht="32" customHeight="1">
      <c r="A217" s="13" t="n">
        <v>213</v>
      </c>
      <c r="B217" s="14" t="inlineStr">
        <is>
          <t>F. 목장형 유가공·유질관리</t>
        </is>
      </c>
      <c r="C217" s="14" t="inlineStr">
        <is>
          <t>F-10 유질관리 체계</t>
        </is>
      </c>
      <c r="D217" s="15" t="inlineStr">
        <is>
          <t>유질관리 SOP·기록 서식</t>
        </is>
      </c>
      <c r="E217" s="14" t="inlineStr">
        <is>
          <t>착유 위생 / 검사 주기 / 이상 시 조치 / 우즈벡어·러시아어</t>
        </is>
      </c>
      <c r="F217" s="14" t="inlineStr">
        <is>
          <t>-</t>
        </is>
      </c>
      <c r="G217" s="13" t="inlineStr">
        <is>
          <t>식</t>
        </is>
      </c>
      <c r="H217" s="16" t="n">
        <v>1</v>
      </c>
      <c r="I217" s="13" t="inlineStr">
        <is>
          <t>한국조달</t>
        </is>
      </c>
      <c r="J217" s="14" t="inlineStr">
        <is>
          <t>교육 프로그램 연계</t>
        </is>
      </c>
      <c r="K217" s="14" t="inlineStr">
        <is>
          <t>-</t>
        </is>
      </c>
    </row>
    <row r="218" ht="32" customHeight="1">
      <c r="A218" s="13" t="n">
        <v>214</v>
      </c>
      <c r="B218" s="14" t="inlineStr">
        <is>
          <t>F. 목장형 유가공·유질관리</t>
        </is>
      </c>
      <c r="C218" s="14" t="inlineStr">
        <is>
          <t>F-11 옵션</t>
        </is>
      </c>
      <c r="D218" s="19" t="inlineStr">
        <is>
          <t>[옵션] 금속검출기</t>
        </is>
      </c>
      <c r="E218" s="14" t="inlineStr">
        <is>
          <t>충전 후 라인 설치</t>
        </is>
      </c>
      <c r="F218" s="14" t="inlineStr">
        <is>
          <t>-</t>
        </is>
      </c>
      <c r="G218" s="13" t="inlineStr">
        <is>
          <t>대</t>
        </is>
      </c>
      <c r="H218" s="16" t="n">
        <v>1</v>
      </c>
      <c r="I218" s="13" t="inlineStr">
        <is>
          <t>한국조달</t>
        </is>
      </c>
      <c r="J218" s="14" t="inlineStr">
        <is>
          <t>-</t>
        </is>
      </c>
      <c r="K218" s="14" t="inlineStr">
        <is>
          <t>수출·대형유통 진출 시 필수</t>
        </is>
      </c>
    </row>
    <row r="219" ht="32" customHeight="1">
      <c r="A219" s="13" t="n">
        <v>215</v>
      </c>
      <c r="B219" s="14" t="inlineStr">
        <is>
          <t>F. 목장형 유가공·유질관리</t>
        </is>
      </c>
      <c r="C219" s="14" t="inlineStr">
        <is>
          <t>F-11 옵션</t>
        </is>
      </c>
      <c r="D219" s="19" t="inlineStr">
        <is>
          <t>[옵션] 유가공 처리량 5톤/일 확장 세트</t>
        </is>
      </c>
      <c r="E219" s="14" t="inlineStr">
        <is>
          <t>살균기 5,000L/h · 저유탱크 5,000L · 충전기 2,000병/h 등으로 상향 / 인근 농가 집유 2.5톤 추가 전제</t>
        </is>
      </c>
      <c r="F219" s="14" t="inlineStr">
        <is>
          <t>-</t>
        </is>
      </c>
      <c r="G219" s="13" t="inlineStr">
        <is>
          <t>식</t>
        </is>
      </c>
      <c r="H219" s="16" t="n">
        <v>1</v>
      </c>
      <c r="I219" s="13" t="inlineStr">
        <is>
          <t>한국조달</t>
        </is>
      </c>
      <c r="J219" s="14" t="inlineStr">
        <is>
          <t>반경 30km 낙농가 집유량 실사 선행</t>
        </is>
      </c>
      <c r="K219" s="18" t="inlineStr">
        <is>
          <t>▲ 지역 집유센터로 확대할 경우의 대안 — 자가 원유만으로는 5톤/일 가동 불가</t>
        </is>
      </c>
    </row>
  </sheetData>
  <autoFilter ref="A4:K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12" customWidth="1" min="8" max="8"/>
    <col width="96" customWidth="1" min="9" max="9"/>
  </cols>
  <sheetData>
    <row r="1">
      <c r="A1" s="1" t="inlineStr">
        <is>
          <t>시스템별 항목 수 요약</t>
        </is>
      </c>
    </row>
    <row r="2">
      <c r="A2" s="2" t="inlineStr">
        <is>
          <t>'01.기자재_리스트업' 시트와 실시간 연동</t>
        </is>
      </c>
    </row>
    <row r="4" ht="26" customHeight="1">
      <c r="A4" s="6" t="inlineStr">
        <is>
          <t>구분</t>
        </is>
      </c>
      <c r="B4" s="6" t="inlineStr">
        <is>
          <t>시스템</t>
        </is>
      </c>
      <c r="C4" s="6" t="inlineStr">
        <is>
          <t>항목 수</t>
        </is>
      </c>
      <c r="D4" s="6" t="inlineStr">
        <is>
          <t>본안</t>
        </is>
      </c>
      <c r="E4" s="6" t="inlineStr">
        <is>
          <t>옵션</t>
        </is>
      </c>
      <c r="F4" s="6" t="inlineStr">
        <is>
          <t>한국조달</t>
        </is>
      </c>
      <c r="G4" s="6" t="inlineStr">
        <is>
          <t>현지조달</t>
        </is>
      </c>
      <c r="H4" s="6" t="inlineStr">
        <is>
          <t>한국+현지</t>
        </is>
      </c>
      <c r="I4" s="6" t="inlineStr">
        <is>
          <t>주요 구성</t>
        </is>
      </c>
    </row>
    <row r="5" ht="62" customHeight="1">
      <c r="A5" s="21" t="inlineStr">
        <is>
          <t>A</t>
        </is>
      </c>
      <c r="B5" s="22" t="inlineStr">
        <is>
          <t>착유우사</t>
        </is>
      </c>
      <c r="C5" s="21">
        <f>COUNTIFS('01.기자재_리스트업'!$B$5:$B$219,"A. 착유우사")</f>
        <v/>
      </c>
      <c r="D5" s="21">
        <f>C5-E5</f>
        <v/>
      </c>
      <c r="E5" s="21">
        <f>COUNTIFS('01.기자재_리스트업'!$B$5:$B$219,"A. 착유우사",'01.기자재_리스트업'!$D$5:$D$219,"*[옵션]*")</f>
        <v/>
      </c>
      <c r="F5" s="21">
        <f>COUNTIFS('01.기자재_리스트업'!$B$5:$B$219,"A. 착유우사",'01.기자재_리스트업'!$I$5:$I$219,"한국조달")</f>
        <v/>
      </c>
      <c r="G5" s="21">
        <f>COUNTIFS('01.기자재_리스트업'!$B$5:$B$219,"A. 착유우사",'01.기자재_리스트업'!$I$5:$I$219,"현지조달")</f>
        <v/>
      </c>
      <c r="H5" s="21">
        <f>COUNTIFS('01.기자재_리스트업'!$B$5:$B$219,"A. 착유우사",'01.기자재_리스트업'!$I$5:$I$219,"한국+현지")</f>
        <v/>
      </c>
      <c r="I5" s="23" t="inlineStr">
        <is>
          <t>축사 2,700㎡(180두 통합수용) · 팔러동 300㎡ · 분만실 · 송아지사 · 프리스톨/카우매트/헤드락 · 통로 그루빙 · 순환팬 20대·쿨링포그·윈치커튼 · 장일조명 · 초유살균기·Brix굴절계 · 귀표기·제각기·발굽삭제기 · 방역설비 · 수변전 500kVA·비상발전 150kW</t>
        </is>
      </c>
    </row>
    <row r="6" ht="62" customHeight="1">
      <c r="A6" s="21" t="inlineStr">
        <is>
          <t>B</t>
        </is>
      </c>
      <c r="B6" s="22" t="inlineStr">
        <is>
          <t>착유시스템(팔러)</t>
        </is>
      </c>
      <c r="C6" s="21">
        <f>COUNTIFS('01.기자재_리스트업'!$B$5:$B$219,"B. 착유시스템(팔러)")</f>
        <v/>
      </c>
      <c r="D6" s="21">
        <f>C6-E6</f>
        <v/>
      </c>
      <c r="E6" s="21">
        <f>COUNTIFS('01.기자재_리스트업'!$B$5:$B$219,"B. 착유시스템(팔러)",'01.기자재_리스트업'!$D$5:$D$219,"*[옵션]*")</f>
        <v/>
      </c>
      <c r="F6" s="21">
        <f>COUNTIFS('01.기자재_리스트업'!$B$5:$B$219,"B. 착유시스템(팔러)",'01.기자재_리스트업'!$I$5:$I$219,"한국조달")</f>
        <v/>
      </c>
      <c r="G6" s="21">
        <f>COUNTIFS('01.기자재_리스트업'!$B$5:$B$219,"B. 착유시스템(팔러)",'01.기자재_리스트업'!$I$5:$I$219,"현지조달")</f>
        <v/>
      </c>
      <c r="H6" s="21">
        <f>COUNTIFS('01.기자재_리스트업'!$B$5:$B$219,"B. 착유시스템(팔러)",'01.기자재_리스트업'!$I$5:$I$219,"한국+현지")</f>
        <v/>
      </c>
      <c r="I6" s="23" t="inlineStr">
        <is>
          <t>팔러착유기 헤링본 2×8(16유닛, ACR·유량계·개체인식) · 진공펌프 · 클러스터/라이너 · 선별게이트 · 크라우드게이트 · 티트스프레이어 · 원유냉각탱크 3,000L×2 · 프리쿨러 · CIP · 라이너 교체 소모품 · 예비부품</t>
        </is>
      </c>
    </row>
    <row r="7" ht="62" customHeight="1">
      <c r="A7" s="21" t="inlineStr">
        <is>
          <t>C</t>
        </is>
      </c>
      <c r="B7" s="22" t="inlineStr">
        <is>
          <t>TMR 배합 시스템</t>
        </is>
      </c>
      <c r="C7" s="21">
        <f>COUNTIFS('01.기자재_리스트업'!$B$5:$B$219,"C. TMR 배합 시스템")</f>
        <v/>
      </c>
      <c r="D7" s="21">
        <f>C7-E7</f>
        <v/>
      </c>
      <c r="E7" s="21">
        <f>COUNTIFS('01.기자재_리스트업'!$B$5:$B$219,"C. TMR 배합 시스템",'01.기자재_리스트업'!$D$5:$D$219,"*[옵션]*")</f>
        <v/>
      </c>
      <c r="F7" s="21">
        <f>COUNTIFS('01.기자재_리스트업'!$B$5:$B$219,"C. TMR 배합 시스템",'01.기자재_리스트업'!$I$5:$I$219,"한국조달")</f>
        <v/>
      </c>
      <c r="G7" s="21">
        <f>COUNTIFS('01.기자재_리스트업'!$B$5:$B$219,"C. TMR 배합 시스템",'01.기자재_리스트업'!$I$5:$I$219,"현지조달")</f>
        <v/>
      </c>
      <c r="H7" s="21">
        <f>COUNTIFS('01.기자재_리스트업'!$B$5:$B$219,"C. TMR 배합 시스템",'01.기자재_리스트업'!$I$5:$I$219,"한국+현지")</f>
        <v/>
      </c>
      <c r="I7" s="23" t="inlineStr">
        <is>
          <t>TMR 배합기 10㎥·6㎥ · 자동 사료밀기 로봇 · IJ-600L 배합기 · 조사료창고 450㎡ · 벙커사일로 8×30m×2 · 사일로 20톤×2 · 베일 그랩/랩핑/절단기 · 수분측정기 · TMR 입자도 체</t>
        </is>
      </c>
    </row>
    <row r="8" ht="62" customHeight="1">
      <c r="A8" s="21" t="inlineStr">
        <is>
          <t>D</t>
        </is>
      </c>
      <c r="B8" s="22" t="inlineStr">
        <is>
          <t>분뇨처리 시스템</t>
        </is>
      </c>
      <c r="C8" s="21">
        <f>COUNTIFS('01.기자재_리스트업'!$B$5:$B$219,"D. 분뇨처리 시스템")</f>
        <v/>
      </c>
      <c r="D8" s="21">
        <f>C8-E8</f>
        <v/>
      </c>
      <c r="E8" s="21">
        <f>COUNTIFS('01.기자재_리스트업'!$B$5:$B$219,"D. 분뇨처리 시스템",'01.기자재_리스트업'!$D$5:$D$219,"*[옵션]*")</f>
        <v/>
      </c>
      <c r="F8" s="21">
        <f>COUNTIFS('01.기자재_리스트업'!$B$5:$B$219,"D. 분뇨처리 시스템",'01.기자재_리스트업'!$I$5:$I$219,"한국조달")</f>
        <v/>
      </c>
      <c r="G8" s="21">
        <f>COUNTIFS('01.기자재_리스트업'!$B$5:$B$219,"D. 분뇨처리 시스템",'01.기자재_리스트업'!$I$5:$I$219,"현지조달")</f>
        <v/>
      </c>
      <c r="H8" s="21">
        <f>COUNTIFS('01.기자재_리스트업'!$B$5:$B$219,"D. 분뇨처리 시스템",'01.기자재_리스트업'!$I$5:$I$219,"한국+현지")</f>
        <v/>
      </c>
      <c r="I8" s="23" t="inlineStr">
        <is>
          <t>퇴비사 600㎡ · 스크래퍼 · 고액분리기 · 수직형 밀폐발효조 10톤/일 · 주행식 교반기 · 탈취(D2O) · 퇴비 선별·포장 · D2O 베딩/HBP · 트랙터 대/소 · 스키드로더 · 지게차 · 살포기</t>
        </is>
      </c>
    </row>
    <row r="9" ht="62" customHeight="1">
      <c r="A9" s="21" t="inlineStr">
        <is>
          <t>E</t>
        </is>
      </c>
      <c r="B9" s="22" t="inlineStr">
        <is>
          <t>번식관리(A.I.·ET)</t>
        </is>
      </c>
      <c r="C9" s="21">
        <f>COUNTIFS('01.기자재_리스트업'!$B$5:$B$219,"E. 번식관리(A.I.·ET)")</f>
        <v/>
      </c>
      <c r="D9" s="21">
        <f>C9-E9</f>
        <v/>
      </c>
      <c r="E9" s="21">
        <f>COUNTIFS('01.기자재_리스트업'!$B$5:$B$219,"E. 번식관리(A.I.·ET)",'01.기자재_리스트업'!$D$5:$D$219,"*[옵션]*")</f>
        <v/>
      </c>
      <c r="F9" s="21">
        <f>COUNTIFS('01.기자재_리스트업'!$B$5:$B$219,"E. 번식관리(A.I.·ET)",'01.기자재_리스트업'!$I$5:$I$219,"한국조달")</f>
        <v/>
      </c>
      <c r="G9" s="21">
        <f>COUNTIFS('01.기자재_리스트업'!$B$5:$B$219,"E. 번식관리(A.I.·ET)",'01.기자재_리스트업'!$I$5:$I$219,"현지조달")</f>
        <v/>
      </c>
      <c r="H9" s="21">
        <f>COUNTIFS('01.기자재_리스트업'!$B$5:$B$219,"E. 번식관리(A.I.·ET)",'01.기자재_리스트업'!$I$5:$I$219,"한국+현지")</f>
        <v/>
      </c>
      <c r="I9" s="23" t="inlineStr">
        <is>
          <t>인공수정 기구·소모품(최소사양) · 액체질소통 20/34/47ℓ · LN2 3년 정기공급 · 초음파 MyLab One Vet·Tringa Linear · ET건·시스·채란기·필터·배지 · 실체현미경 · 프로그램 동결기 · 드라이시퍼 · 성감별 정액 500str · 성감별 수정란 600개 · 번식 작업실 30㎡</t>
        </is>
      </c>
    </row>
    <row r="10" ht="62" customHeight="1">
      <c r="A10" s="21" t="inlineStr">
        <is>
          <t>F</t>
        </is>
      </c>
      <c r="B10" s="22" t="inlineStr">
        <is>
          <t>목장형 유가공·유질관리</t>
        </is>
      </c>
      <c r="C10" s="21">
        <f>COUNTIFS('01.기자재_리스트업'!$B$5:$B$219,"F. 목장형 유가공·유질관리")</f>
        <v/>
      </c>
      <c r="D10" s="21">
        <f>C10-E10</f>
        <v/>
      </c>
      <c r="E10" s="21">
        <f>COUNTIFS('01.기자재_리스트업'!$B$5:$B$219,"F. 목장형 유가공·유질관리",'01.기자재_리스트업'!$D$5:$D$219,"*[옵션]*")</f>
        <v/>
      </c>
      <c r="F10" s="21">
        <f>COUNTIFS('01.기자재_리스트업'!$B$5:$B$219,"F. 목장형 유가공·유질관리",'01.기자재_리스트업'!$I$5:$I$219,"한국조달")</f>
        <v/>
      </c>
      <c r="G10" s="21">
        <f>COUNTIFS('01.기자재_리스트업'!$B$5:$B$219,"F. 목장형 유가공·유질관리",'01.기자재_리스트업'!$I$5:$I$219,"현지조달")</f>
        <v/>
      </c>
      <c r="H10" s="21">
        <f>COUNTIFS('01.기자재_리스트업'!$B$5:$B$219,"F. 목장형 유가공·유질관리",'01.기자재_리스트업'!$I$5:$I$219,"한국+현지")</f>
        <v/>
      </c>
      <c r="I10" s="23" t="inlineStr">
        <is>
          <t>목장형 유가공동 300㎡ · 2.5톤/일 라인(HTST 1,000L/h · 다목적 가공탱크 500L×2 · 발효탱크 300L×2 · 치즈 · 카이막 · 아이스크림) · 반자동 충전포장 · CIP · 유틸리티 · 냉장/냉동창고 · 유성분·체세포·세균수·항생물질·빙점 분석기 · 미생물 검사 · 유질 관리 시스템(SW)</t>
        </is>
      </c>
    </row>
    <row r="11" ht="24" customHeight="1">
      <c r="A11" s="24" t="n"/>
      <c r="B11" s="25" t="inlineStr">
        <is>
          <t>합  계</t>
        </is>
      </c>
      <c r="C11" s="24">
        <f>SUM(C5:C10)</f>
        <v/>
      </c>
      <c r="D11" s="24">
        <f>SUM(D5:D10)</f>
        <v/>
      </c>
      <c r="E11" s="24">
        <f>SUM(E5:E10)</f>
        <v/>
      </c>
      <c r="F11" s="24">
        <f>SUM(F5:F10)</f>
        <v/>
      </c>
      <c r="G11" s="24">
        <f>SUM(G5:G10)</f>
        <v/>
      </c>
      <c r="H11" s="24">
        <f>SUM(H5:H10)</f>
        <v/>
      </c>
      <c r="I11" s="2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76" customWidth="1" min="4" max="4"/>
    <col width="18" customWidth="1" min="5" max="5"/>
    <col width="11" customWidth="1" min="6" max="6"/>
  </cols>
  <sheetData>
    <row r="1">
      <c r="A1" s="1" t="inlineStr">
        <is>
          <t>규격 확정 전 검증이 필요한 사항</t>
        </is>
      </c>
    </row>
    <row r="2">
      <c r="A2" s="2" t="inlineStr">
        <is>
          <t>아래 항목이 확정되지 않으면 기자재 규격을 최종 확정할 수 없습니다</t>
        </is>
      </c>
    </row>
    <row r="4">
      <c r="A4" s="6" t="inlineStr">
        <is>
          <t>No</t>
        </is>
      </c>
      <c r="B4" s="6" t="inlineStr">
        <is>
          <t>항목</t>
        </is>
      </c>
      <c r="C4" s="6" t="inlineStr">
        <is>
          <t>현재 상태</t>
        </is>
      </c>
      <c r="D4" s="6" t="inlineStr">
        <is>
          <t>확정해야 할 내용</t>
        </is>
      </c>
      <c r="E4" s="6" t="inlineStr">
        <is>
          <t>영향 시스템</t>
        </is>
      </c>
      <c r="F4" s="6" t="inlineStr">
        <is>
          <t>우선순위</t>
        </is>
      </c>
    </row>
    <row r="5" ht="40" customHeight="1">
      <c r="A5" s="27" t="n">
        <v>1</v>
      </c>
      <c r="B5" s="23" t="inlineStr">
        <is>
          <t>수정란·정액 수입 검역요건</t>
        </is>
      </c>
      <c r="C5" s="27" t="inlineStr">
        <is>
          <t>미확정</t>
        </is>
      </c>
      <c r="D5" s="23" t="inlineStr">
        <is>
          <t>우즈벡 수의당국 Export Permit / Health Certificate 요건. 불가 판정 시 사업 구조 자체를 변경해야 함</t>
        </is>
      </c>
      <c r="E5" s="27" t="inlineStr">
        <is>
          <t>E</t>
        </is>
      </c>
      <c r="F5" s="28" t="inlineStr">
        <is>
          <t>최우선</t>
        </is>
      </c>
    </row>
    <row r="6" ht="40" customHeight="1">
      <c r="A6" s="27" t="n">
        <v>2</v>
      </c>
      <c r="B6" s="23" t="inlineStr">
        <is>
          <t>액체질소 현지 공급망</t>
        </is>
      </c>
      <c r="C6" s="27" t="inlineStr">
        <is>
          <t>미확정</t>
        </is>
      </c>
      <c r="D6" s="23" t="inlineStr">
        <is>
          <t>질소발생기 미도입 결정에 따른 필수 검증. 공급업체·공급주기·비상 대체공급원 확인 후 3년 계약 체결</t>
        </is>
      </c>
      <c r="E6" s="27" t="inlineStr">
        <is>
          <t>E</t>
        </is>
      </c>
      <c r="F6" s="28" t="inlineStr">
        <is>
          <t>최우선</t>
        </is>
      </c>
    </row>
    <row r="7" ht="40" customHeight="1">
      <c r="A7" s="27" t="n">
        <v>3</v>
      </c>
      <c r="B7" s="23" t="inlineStr">
        <is>
          <t>부지 위치·면적·지반</t>
        </is>
      </c>
      <c r="C7" s="27" t="inlineStr">
        <is>
          <t>미확정</t>
        </is>
      </c>
      <c r="D7" s="23" t="inlineStr">
        <is>
          <t>건축 배치·기초 설계의 전제. 부지는 우즈벡측 무상제공 전제</t>
        </is>
      </c>
      <c r="E7" s="27" t="inlineStr">
        <is>
          <t>A · C · D · F</t>
        </is>
      </c>
      <c r="F7" s="28" t="inlineStr">
        <is>
          <t>최우선</t>
        </is>
      </c>
    </row>
    <row r="8" ht="40" customHeight="1">
      <c r="A8" s="27" t="n">
        <v>4</v>
      </c>
      <c r="B8" s="23" t="inlineStr">
        <is>
          <t>전력 수전 용량</t>
        </is>
      </c>
      <c r="C8" s="27" t="inlineStr">
        <is>
          <t>미확정</t>
        </is>
      </c>
      <c r="D8" s="23" t="inlineStr">
        <is>
          <t>부지 인근 수전 가능 용량. 500kVA 확보 불가 시 설비 구성 변경 필요</t>
        </is>
      </c>
      <c r="E8" s="27" t="inlineStr">
        <is>
          <t>A · B · F</t>
        </is>
      </c>
      <c r="F8" s="27" t="inlineStr">
        <is>
          <t>높음</t>
        </is>
      </c>
    </row>
    <row r="9" ht="40" customHeight="1">
      <c r="A9" s="27" t="n">
        <v>5</v>
      </c>
      <c r="B9" s="23" t="inlineStr">
        <is>
          <t>지하수 수질·수량</t>
        </is>
      </c>
      <c r="C9" s="27" t="inlineStr">
        <is>
          <t>미확정</t>
        </is>
      </c>
      <c r="D9" s="23" t="inlineStr">
        <is>
          <t>유가공 용수 적합성. 경도·철분 분석 후 연수·정수 사양 확정</t>
        </is>
      </c>
      <c r="E9" s="27" t="inlineStr">
        <is>
          <t>A · F</t>
        </is>
      </c>
      <c r="F9" s="27" t="inlineStr">
        <is>
          <t>높음</t>
        </is>
      </c>
    </row>
    <row r="10" ht="40" customHeight="1">
      <c r="A10" s="27" t="n">
        <v>6</v>
      </c>
      <c r="B10" s="23" t="inlineStr">
        <is>
          <t>유가공 영업허가·표시기준</t>
        </is>
      </c>
      <c r="C10" s="27" t="inlineStr">
        <is>
          <t>미확정</t>
        </is>
      </c>
      <c r="D10" s="23" t="inlineStr">
        <is>
          <t>우즈벡 유제품 위생기준·유통기한·라벨 규정. 충전·라벨 설비 사양에 직결</t>
        </is>
      </c>
      <c r="E10" s="27" t="inlineStr">
        <is>
          <t>F</t>
        </is>
      </c>
      <c r="F10" s="27" t="inlineStr">
        <is>
          <t>높음</t>
        </is>
      </c>
    </row>
    <row r="11" ht="40" customHeight="1">
      <c r="A11" s="27" t="n">
        <v>7</v>
      </c>
      <c r="B11" s="23" t="inlineStr">
        <is>
          <t>동물용의약품 수입허가</t>
        </is>
      </c>
      <c r="C11" s="27" t="inlineStr">
        <is>
          <t>미확정</t>
        </is>
      </c>
      <c r="D11" s="23" t="inlineStr">
        <is>
          <t>발정동기화 호르몬(CIDR·GnRH·PGF2α) 현지 수입·사용 허가 여부</t>
        </is>
      </c>
      <c r="E11" s="27" t="inlineStr">
        <is>
          <t>E</t>
        </is>
      </c>
      <c r="F11" s="27" t="inlineStr">
        <is>
          <t>높음</t>
        </is>
      </c>
    </row>
    <row r="12" ht="40" customHeight="1">
      <c r="A12" s="27" t="n">
        <v>8</v>
      </c>
      <c r="B12" s="23" t="inlineStr">
        <is>
          <t>현지 원유·유제품 시장</t>
        </is>
      </c>
      <c r="C12" s="27" t="inlineStr">
        <is>
          <t>미확정</t>
        </is>
      </c>
      <c r="D12" s="23" t="inlineStr">
        <is>
          <t>제품 구성(시유·요거트·치즈·카이막·아이스크림) 비중 결정. 목장형 설비 사양에 직결</t>
        </is>
      </c>
      <c r="E12" s="27" t="inlineStr">
        <is>
          <t>F</t>
        </is>
      </c>
      <c r="F12" s="27" t="inlineStr">
        <is>
          <t>높음</t>
        </is>
      </c>
    </row>
    <row r="13" ht="40" customHeight="1">
      <c r="A13" s="27" t="n">
        <v>9</v>
      </c>
      <c r="B13" s="23" t="inlineStr">
        <is>
          <t>소모품 현지 조달경로</t>
        </is>
      </c>
      <c r="C13" s="27" t="inlineStr">
        <is>
          <t>미확정</t>
        </is>
      </c>
      <c r="D13" s="23" t="inlineStr">
        <is>
          <t>세척약품·티트딥·소독약·시약·배지의 현지 반복조달 가능 여부. 불가 시 조달계획에 반영</t>
        </is>
      </c>
      <c r="E13" s="27" t="inlineStr">
        <is>
          <t>A · B · E · F</t>
        </is>
      </c>
      <c r="F13" s="27" t="inlineStr">
        <is>
          <t>높음</t>
        </is>
      </c>
    </row>
    <row r="14" ht="40" customHeight="1">
      <c r="A14" s="27" t="n">
        <v>10</v>
      </c>
      <c r="B14" s="23" t="inlineStr">
        <is>
          <t>현지 환경 배출기준</t>
        </is>
      </c>
      <c r="C14" s="27" t="inlineStr">
        <is>
          <t>미확정</t>
        </is>
      </c>
      <c r="D14" s="23" t="inlineStr">
        <is>
          <t>유가공 폐수·축산 악취 기준. 폐수처리·탈취 설비 사양에 직결</t>
        </is>
      </c>
      <c r="E14" s="27" t="inlineStr">
        <is>
          <t>D · F</t>
        </is>
      </c>
      <c r="F14" s="27" t="inlineStr">
        <is>
          <t>중간</t>
        </is>
      </c>
    </row>
    <row r="15" ht="40" customHeight="1">
      <c r="A15" s="27" t="n">
        <v>11</v>
      </c>
      <c r="B15" s="23" t="inlineStr">
        <is>
          <t>사체처리 방식</t>
        </is>
      </c>
      <c r="C15" s="27" t="inlineStr">
        <is>
          <t>미확정</t>
        </is>
      </c>
      <c r="D15" s="23" t="inlineStr">
        <is>
          <t>현지 법령상 허용 방식(랜더링·소각·매몰) 및 인허가</t>
        </is>
      </c>
      <c r="E15" s="27" t="inlineStr">
        <is>
          <t>A</t>
        </is>
      </c>
      <c r="F15" s="27" t="inlineStr">
        <is>
          <t>중간</t>
        </is>
      </c>
    </row>
    <row r="16" ht="40" customHeight="1">
      <c r="A16" s="27" t="n">
        <v>12</v>
      </c>
      <c r="B16" s="23" t="inlineStr">
        <is>
          <t>현지 설계·내진 기준</t>
        </is>
      </c>
      <c r="C16" s="27" t="inlineStr">
        <is>
          <t>미확정</t>
        </is>
      </c>
      <c r="D16" s="23" t="inlineStr">
        <is>
          <t>축사·공장 구조설계 기준. 한국 자재 규격과의 정합성</t>
        </is>
      </c>
      <c r="E16" s="27" t="inlineStr">
        <is>
          <t>A · C · D · F</t>
        </is>
      </c>
      <c r="F16" s="27" t="inlineStr">
        <is>
          <t>중간</t>
        </is>
      </c>
    </row>
    <row r="17" ht="40" customHeight="1">
      <c r="A17" s="27" t="n">
        <v>13</v>
      </c>
      <c r="B17" s="23" t="inlineStr">
        <is>
          <t>조사료 수급 여건</t>
        </is>
      </c>
      <c r="C17" s="27" t="inlineStr">
        <is>
          <t>미확정</t>
        </is>
      </c>
      <c r="D17" s="23" t="inlineStr">
        <is>
          <t>현지 알팔파·옥수수 사일리지 수급량·품질. TMR 배합 설계의 전제</t>
        </is>
      </c>
      <c r="E17" s="27" t="inlineStr">
        <is>
          <t>C</t>
        </is>
      </c>
      <c r="F17" s="27" t="inlineStr">
        <is>
          <t>중간</t>
        </is>
      </c>
    </row>
    <row r="18" ht="40" customHeight="1">
      <c r="A18" s="27" t="n">
        <v>14</v>
      </c>
      <c r="B18" s="23" t="inlineStr">
        <is>
          <t>인근 농가 집유 가능량</t>
        </is>
      </c>
      <c r="C18" s="27" t="inlineStr">
        <is>
          <t>미확정</t>
        </is>
      </c>
      <c r="D18" s="23" t="inlineStr">
        <is>
          <t>▲ 유가공을 5톤/일로 확장(F-11 옵션)할 경우에만 필요. 반경 30km 낙농가 호수·두수·원유량 실사</t>
        </is>
      </c>
      <c r="E18" s="27" t="inlineStr">
        <is>
          <t>F(옵션)</t>
        </is>
      </c>
      <c r="F18" s="27" t="inlineStr">
        <is>
          <t>조건부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  <col width="54" customWidth="1" min="3" max="3"/>
  </cols>
  <sheetData>
    <row r="1">
      <c r="A1" s="1" t="inlineStr">
        <is>
          <t>확장항목 (2단계 검토) — 본 6개 시스템 범위에서 제외</t>
        </is>
      </c>
    </row>
    <row r="2">
      <c r="A2" s="2" t="inlineStr">
        <is>
          <t>1차 지시에 포함되었던 항목을 보존한 목록입니다. 필요 시 본 리스트에 편입할 수 있습니다</t>
        </is>
      </c>
    </row>
    <row r="4">
      <c r="A4" s="6" t="inlineStr">
        <is>
          <t>구분</t>
        </is>
      </c>
      <c r="B4" s="6" t="inlineStr">
        <is>
          <t>포함 항목</t>
        </is>
      </c>
      <c r="C4" s="6" t="inlineStr">
        <is>
          <t>비고</t>
        </is>
      </c>
    </row>
    <row r="5" ht="76" customHeight="1">
      <c r="A5" s="29" t="inlineStr">
        <is>
          <t>① 체외수정란(IVF) 실험실</t>
        </is>
      </c>
      <c r="B5" s="23" t="inlineStr">
        <is>
          <t>실험실동 200㎡(10×20m, 클린룸 Class 10,000) · 도립현미경 · 실체현미경 · CO2/트리가스 인큐베이터 · 벤치탑 인큐베이터 · 클린벤치 · OPU 초음파·프로브 세트 · 난포액 흡인펌프 · 가스실린더 자동절환기 · 원심분리기 · 오스몰미터 · 초순수제조기 · 초저온냉동고 · LN2 대용량탱크 · 배지/소모품 1년분 · 실험실 UPS · 원격 감시알람 · 유전체 분석 전처리</t>
        </is>
      </c>
      <c r="C5" s="23" t="inlineStr">
        <is>
          <t>본 범위(E군)는 채란·검경·동결·이식 수준까지. 체외수정란 생산은 별도 실험실 인프라가 필요 — 2단계 검토</t>
        </is>
      </c>
    </row>
    <row r="6" ht="76" customHeight="1">
      <c r="A6" s="29" t="inlineStr">
        <is>
          <t>② ICT·스마트팜</t>
        </is>
      </c>
      <c r="B6" s="23" t="inlineStr">
        <is>
          <t>smaXtec 위내센서 180두(설치 + 36개월) · 볼러스 투여기·핸드리더 · 축사 환경센서 20포인트(NH3·CO2·H2S·풍속·조도·PM) · 원본 리스트 계측기자재 전량(비접촉온도계·MICRO LOG·암모니아측정기·검지관·Kestrel 3000·포그머신 Z-1000·복합가스측정기·열화상카메라·소음계·조도계 YK-10LX 등) · 게이트웨이/무선망 · 워크오버 체중계 · 영상 AI 카메라 · CowTalk AI 플랫폼 현지화 · Eco-BIT 정부 대시보드 · 서버·네트워크</t>
        </is>
      </c>
      <c r="C6" s="23" t="inlineStr">
        <is>
          <t>회장님 1차 지시에 포함되었던 항목. 본 6개 시스템 범위에서는 제외하되 목록 보존 — A-3 환경 제어반은 최소 구성으로 본 범위에 포함</t>
        </is>
      </c>
    </row>
    <row r="7" ht="76" customHeight="1">
      <c r="A7" s="29" t="inlineStr">
        <is>
          <t>③ 교육훈련·기술전수</t>
        </is>
      </c>
      <c r="B7" s="23" t="inlineStr">
        <is>
          <t>한국 초청연수(2주 × 20명 × 3회) · 한국 전문가 파견(연 6회 × 3년) · 현지 상주 전문가(PM+기술, 36개월) · 교육모듈 4종(사료관리 / 개체이력관리 / 위생·방역 / 유통·품질관리) · 교재·SOP 매뉴얼(우즈벡어·러시아어·영어) · 수정란이식 기술전수 인증과정(현지 수의사 30명) · 유가공 기술전수(레시피 현지화) · 워크숍·시연회 · 온라인 교육 플랫폼(LMS)</t>
        </is>
      </c>
      <c r="C7" s="23" t="inlineStr">
        <is>
          <t>원본 리스트의 '교육훈련' · '기술전수 및 보급' 대분류. ODA 사업에서는 통상 필수 구성 — 사업 형태 확정 후 재검토</t>
        </is>
      </c>
    </row>
    <row r="8" ht="76" customHeight="1">
      <c r="A8" s="29" t="inlineStr">
        <is>
          <t>④ 신재생에너지</t>
        </is>
      </c>
      <c r="B8" s="23" t="inlineStr">
        <is>
          <t>태양광 발전설비 300kW(축사·유가공 지붕형) · ESS 200kWh</t>
        </is>
      </c>
      <c r="C8" s="23" t="inlineStr">
        <is>
          <t>원본 리스트 '태양광 발전 시설(패널, 구조물 등)' 항목. 우즈벡 일사량 우수 — 전력비 절감 효과 큼</t>
        </is>
      </c>
    </row>
    <row r="9" ht="76" customHeight="1">
      <c r="A9" s="29" t="inlineStr">
        <is>
          <t>⑤ 관리동·교육시설</t>
        </is>
      </c>
      <c r="B9" s="23" t="inlineStr">
        <is>
          <t>관리동 300㎡(사무실 · 교육장 40석 · 기숙사 · 식당)</t>
        </is>
      </c>
      <c r="C9" s="23" t="inlineStr">
        <is>
          <t>교육훈련 프로그램 도입 시 필수 부속시설</t>
        </is>
      </c>
    </row>
    <row r="10" ht="76" customHeight="1">
      <c r="A10" s="29" t="inlineStr">
        <is>
          <t>⑥ 유가공 확장 라인</t>
        </is>
      </c>
      <c r="B10" s="23" t="inlineStr">
        <is>
          <t>UHT/ESL 살균라인 + 무균충전(1,000 L/h) · 게이블탑(카톤) 충전기 · 원유 집유차 접속설비 · 냉장배송차 추가</t>
        </is>
      </c>
      <c r="C10" s="23" t="inlineStr">
        <is>
          <t>콜드체인 취약지역 유통 확대 또는 지역 집유센터 전환 시</t>
        </is>
      </c>
    </row>
    <row r="11" ht="76" customHeight="1">
      <c r="A11" s="29" t="inlineStr">
        <is>
          <t>⑦ 착유 자동화</t>
        </is>
      </c>
      <c r="B11" s="23" t="inlineStr">
        <is>
          <t>착유로봇(실증·교육 시연용 1대)</t>
        </is>
      </c>
      <c r="C11" s="23" t="inlineStr">
        <is>
          <t>B-7에 옵션으로 기재 — 100두 규모에서 전면도입은 비경제적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2026-08-11T12:03:14Z</dcterms:created>
  <dcterms:modified xsi:type="dcterms:W3CDTF">2026-08-11T12:03:14Z</dcterms:modified>
</cp:coreProperties>
</file>