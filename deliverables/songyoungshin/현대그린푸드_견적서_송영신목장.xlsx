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14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'Sheet1'!$A$1:$S$31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0_);[Red]\(0\)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KoPub돋움체 Medium"/>
      <charset val="129"/>
      <family val="3"/>
      <color theme="1"/>
      <sz val="10"/>
    </font>
    <font>
      <name val="KoPub돋움체 Medium"/>
      <charset val="129"/>
      <family val="3"/>
      <b val="1"/>
      <color theme="1"/>
      <sz val="10"/>
    </font>
    <font>
      <name val="KoPub돋움체 Medium"/>
      <charset val="129"/>
      <family val="3"/>
      <b val="1"/>
      <color theme="1"/>
      <sz val="20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맑은 고딕"/>
      <charset val="129"/>
      <family val="3"/>
      <color theme="1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C00000"/>
      </left>
      <right style="thin">
        <color indexed="64"/>
      </right>
      <top style="thick">
        <color rgb="FFC00000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thick">
        <color rgb="FFC00000"/>
      </top>
      <bottom style="thin">
        <color indexed="64"/>
      </bottom>
      <diagonal/>
    </border>
    <border>
      <left style="thick">
        <color rgb="FFC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thick">
        <color rgb="FFC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C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164" fontId="1" fillId="0" borderId="0" applyAlignment="1">
      <alignment vertical="center"/>
    </xf>
    <xf numFmtId="9" fontId="1" fillId="0" borderId="0" applyAlignment="1">
      <alignment vertical="center"/>
    </xf>
  </cellStyleXfs>
  <cellXfs count="90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64" fontId="5" fillId="3" borderId="0" applyAlignment="1" pivotButton="0" quotePrefix="0" xfId="1">
      <alignment horizontal="left" vertical="center"/>
    </xf>
    <xf numFmtId="164" fontId="3" fillId="0" borderId="0" applyAlignment="1" pivotButton="0" quotePrefix="0" xfId="1">
      <alignment vertical="center"/>
    </xf>
    <xf numFmtId="0" fontId="5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5" fontId="5" fillId="3" borderId="0" applyAlignment="1" pivotButton="0" quotePrefix="0" xfId="2">
      <alignment horizontal="left" vertical="center"/>
    </xf>
    <xf numFmtId="165" fontId="4" fillId="2" borderId="1" applyAlignment="1" pivotButton="0" quotePrefix="0" xfId="2">
      <alignment horizontal="center" vertical="center"/>
    </xf>
    <xf numFmtId="165" fontId="3" fillId="0" borderId="0" applyAlignment="1" pivotButton="0" quotePrefix="0" xfId="2">
      <alignment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2">
      <alignment vertical="center"/>
    </xf>
    <xf numFmtId="0" fontId="3" fillId="4" borderId="1" applyAlignment="1" pivotButton="0" quotePrefix="0" xfId="0">
      <alignment vertical="center"/>
    </xf>
    <xf numFmtId="165" fontId="3" fillId="0" borderId="1" applyAlignment="1" pivotButton="0" quotePrefix="0" xfId="2">
      <alignment vertical="center"/>
    </xf>
    <xf numFmtId="0" fontId="3" fillId="4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165" fontId="4" fillId="2" borderId="8" applyAlignment="1" pivotButton="0" quotePrefix="0" xfId="2">
      <alignment horizontal="center" vertical="center"/>
    </xf>
    <xf numFmtId="165" fontId="3" fillId="4" borderId="8" applyAlignment="1" pivotButton="0" quotePrefix="0" xfId="2">
      <alignment vertical="center"/>
    </xf>
    <xf numFmtId="165" fontId="3" fillId="0" borderId="8" applyAlignment="1" pivotButton="0" quotePrefix="0" xfId="2">
      <alignment vertical="center"/>
    </xf>
    <xf numFmtId="165" fontId="4" fillId="2" borderId="9" applyAlignment="1" pivotButton="0" quotePrefix="0" xfId="2">
      <alignment horizontal="center" vertical="center"/>
    </xf>
    <xf numFmtId="165" fontId="3" fillId="4" borderId="9" applyAlignment="1" pivotButton="0" quotePrefix="0" xfId="2">
      <alignment vertical="center"/>
    </xf>
    <xf numFmtId="165" fontId="3" fillId="0" borderId="9" applyAlignment="1" pivotButton="0" quotePrefix="0" xfId="2">
      <alignment vertical="center"/>
    </xf>
    <xf numFmtId="164" fontId="4" fillId="2" borderId="10" applyAlignment="1" pivotButton="0" quotePrefix="0" xfId="1">
      <alignment horizontal="center" vertical="center" wrapText="1"/>
    </xf>
    <xf numFmtId="164" fontId="4" fillId="2" borderId="11" applyAlignment="1" pivotButton="0" quotePrefix="0" xfId="1">
      <alignment horizontal="center" vertical="center" wrapText="1"/>
    </xf>
    <xf numFmtId="164" fontId="3" fillId="4" borderId="12" applyAlignment="1" pivotButton="0" quotePrefix="0" xfId="1">
      <alignment vertical="center"/>
    </xf>
    <xf numFmtId="164" fontId="3" fillId="4" borderId="13" applyAlignment="1" pivotButton="0" quotePrefix="0" xfId="1">
      <alignment vertical="center"/>
    </xf>
    <xf numFmtId="0" fontId="3" fillId="0" borderId="5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6" fontId="5" fillId="3" borderId="0" applyAlignment="1" pivotButton="0" quotePrefix="0" xfId="0">
      <alignment horizontal="center" vertical="center"/>
    </xf>
    <xf numFmtId="166" fontId="3" fillId="0" borderId="2" applyAlignment="1" pivotButton="0" quotePrefix="0" xfId="0">
      <alignment vertical="center"/>
    </xf>
    <xf numFmtId="166" fontId="3" fillId="0" borderId="1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4" fontId="3" fillId="5" borderId="12" applyAlignment="1" pivotButton="0" quotePrefix="0" xfId="1">
      <alignment vertical="center"/>
    </xf>
    <xf numFmtId="164" fontId="3" fillId="5" borderId="13" applyAlignment="1" pivotButton="0" quotePrefix="0" xfId="1">
      <alignment vertical="center"/>
    </xf>
    <xf numFmtId="164" fontId="3" fillId="5" borderId="14" applyAlignment="1" pivotButton="0" quotePrefix="0" xfId="1">
      <alignment vertical="center"/>
    </xf>
    <xf numFmtId="164" fontId="3" fillId="5" borderId="15" applyAlignment="1" pivotButton="0" quotePrefix="0" xfId="1">
      <alignment vertical="center"/>
    </xf>
    <xf numFmtId="0" fontId="3" fillId="5" borderId="1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166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1">
      <alignment vertical="center"/>
    </xf>
    <xf numFmtId="165" fontId="3" fillId="0" borderId="0" applyAlignment="1" pivotButton="0" quotePrefix="0" xfId="2">
      <alignment vertical="center"/>
    </xf>
    <xf numFmtId="0" fontId="0" fillId="0" borderId="0" pivotButton="0" quotePrefix="0" xfId="0"/>
    <xf numFmtId="166" fontId="5" fillId="3" borderId="0" applyAlignment="1" pivotButton="0" quotePrefix="0" xfId="0">
      <alignment horizontal="center" vertical="center"/>
    </xf>
    <xf numFmtId="164" fontId="5" fillId="3" borderId="0" applyAlignment="1" pivotButton="0" quotePrefix="0" xfId="1">
      <alignment horizontal="left" vertical="center"/>
    </xf>
    <xf numFmtId="165" fontId="5" fillId="3" borderId="0" applyAlignment="1" pivotButton="0" quotePrefix="0" xfId="2">
      <alignment horizontal="left" vertical="center"/>
    </xf>
    <xf numFmtId="166" fontId="3" fillId="0" borderId="2" applyAlignment="1" pivotButton="0" quotePrefix="0" xfId="0">
      <alignment vertical="center"/>
    </xf>
    <xf numFmtId="166" fontId="4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6" pivotButton="0" quotePrefix="0" xfId="0"/>
    <xf numFmtId="164" fontId="4" fillId="2" borderId="10" applyAlignment="1" pivotButton="0" quotePrefix="0" xfId="1">
      <alignment horizontal="center" vertical="center" wrapText="1"/>
    </xf>
    <xf numFmtId="164" fontId="4" fillId="2" borderId="11" applyAlignment="1" pivotButton="0" quotePrefix="0" xfId="1">
      <alignment horizontal="center" vertical="center" wrapText="1"/>
    </xf>
    <xf numFmtId="165" fontId="4" fillId="2" borderId="8" applyAlignment="1" pivotButton="0" quotePrefix="0" xfId="2">
      <alignment horizontal="center" vertical="center"/>
    </xf>
    <xf numFmtId="165" fontId="4" fillId="2" borderId="9" applyAlignment="1" pivotButton="0" quotePrefix="0" xfId="2">
      <alignment horizontal="center" vertical="center"/>
    </xf>
    <xf numFmtId="165" fontId="4" fillId="2" borderId="1" applyAlignment="1" pivotButton="0" quotePrefix="0" xfId="2">
      <alignment horizontal="center" vertical="center"/>
    </xf>
    <xf numFmtId="166" fontId="3" fillId="4" borderId="1" applyAlignment="1" pivotButton="0" quotePrefix="0" xfId="0">
      <alignment horizontal="center" vertical="center"/>
    </xf>
    <xf numFmtId="164" fontId="3" fillId="4" borderId="12" applyAlignment="1" pivotButton="0" quotePrefix="0" xfId="1">
      <alignment vertical="center"/>
    </xf>
    <xf numFmtId="164" fontId="3" fillId="4" borderId="13" applyAlignment="1" pivotButton="0" quotePrefix="0" xfId="1">
      <alignment vertical="center"/>
    </xf>
    <xf numFmtId="165" fontId="3" fillId="4" borderId="8" applyAlignment="1" pivotButton="0" quotePrefix="0" xfId="2">
      <alignment vertical="center"/>
    </xf>
    <xf numFmtId="165" fontId="3" fillId="4" borderId="9" applyAlignment="1" pivotButton="0" quotePrefix="0" xfId="2">
      <alignment vertical="center"/>
    </xf>
    <xf numFmtId="165" fontId="3" fillId="4" borderId="1" applyAlignment="1" pivotButton="0" quotePrefix="0" xfId="2">
      <alignment vertical="center"/>
    </xf>
    <xf numFmtId="166" fontId="3" fillId="0" borderId="1" applyAlignment="1" pivotButton="0" quotePrefix="0" xfId="0">
      <alignment horizontal="center" vertical="center"/>
    </xf>
    <xf numFmtId="164" fontId="3" fillId="5" borderId="12" applyAlignment="1" pivotButton="0" quotePrefix="0" xfId="1">
      <alignment vertical="center"/>
    </xf>
    <xf numFmtId="164" fontId="3" fillId="5" borderId="13" applyAlignment="1" pivotButton="0" quotePrefix="0" xfId="1">
      <alignment vertical="center"/>
    </xf>
    <xf numFmtId="165" fontId="3" fillId="0" borderId="8" applyAlignment="1" pivotButton="0" quotePrefix="0" xfId="2">
      <alignment vertical="center"/>
    </xf>
    <xf numFmtId="165" fontId="3" fillId="0" borderId="9" applyAlignment="1" pivotButton="0" quotePrefix="0" xfId="2">
      <alignment vertical="center"/>
    </xf>
    <xf numFmtId="165" fontId="3" fillId="0" borderId="1" applyAlignment="1" pivotButton="0" quotePrefix="0" xfId="2">
      <alignment vertical="center"/>
    </xf>
    <xf numFmtId="164" fontId="3" fillId="5" borderId="14" applyAlignment="1" pivotButton="0" quotePrefix="0" xfId="1">
      <alignment vertical="center"/>
    </xf>
    <xf numFmtId="164" fontId="3" fillId="5" borderId="15" applyAlignment="1" pivotButton="0" quotePrefix="0" xfId="1">
      <alignment vertical="center"/>
    </xf>
  </cellXfs>
  <cellStyles count="3">
    <cellStyle name="표준" xfId="0" builtinId="0"/>
    <cellStyle name="쉼표 [0]" xfId="1" builtinId="6"/>
    <cellStyle name="백분율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Windows 사용자</author>
  </authors>
  <commentList>
    <comment ref="H4" authorId="0" shapeId="0">
      <text>
        <t>[세구분]
과세 / 면세 / 영세 중 택1</t>
      </text>
    </comment>
    <comment ref="I4" authorId="0" shapeId="0">
      <text>
        <t>[거래조건]
직매입 / 특정 중 택1</t>
      </text>
    </comment>
    <comment ref="J4" authorId="0" shapeId="0">
      <text>
        <t>[경로]
1. R1(센터비축)
2. R2(센터경유)
3. R3(점포직송)</t>
      </text>
    </comment>
    <comment ref="K5" authorId="0" shapeId="0">
      <text>
        <t>원가는 부가세 별도기준으로 작성할 것.</t>
      </text>
    </comment>
    <comment ref="L5" authorId="0" shapeId="0">
      <text>
        <t>매가는 부가세 포함가로 작성할 것.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tabSelected="1" view="pageBreakPreview" zoomScaleNormal="100" zoomScaleSheetLayoutView="100" workbookViewId="0">
      <selection activeCell="D10" sqref="D10"/>
    </sheetView>
  </sheetViews>
  <sheetFormatPr baseColWidth="10" defaultColWidth="9" defaultRowHeight="20" customHeight="1"/>
  <cols>
    <col width="5.1640625" customWidth="1" style="3" min="1" max="1"/>
    <col width="9.6640625" customWidth="1" style="3" min="2" max="2"/>
    <col width="13.6640625" customWidth="1" style="57" min="3" max="3"/>
    <col width="33.6640625" customWidth="1" style="5" min="4" max="4"/>
    <col width="17" customWidth="1" style="5" min="5" max="5"/>
    <col width="4.5" bestFit="1" customWidth="1" style="3" min="6" max="6"/>
    <col width="4.5" customWidth="1" style="3" min="7" max="7"/>
    <col width="6" bestFit="1" customWidth="1" style="3" min="8" max="8"/>
    <col width="6" customWidth="1" style="3" min="9" max="9"/>
    <col width="7.1640625" bestFit="1" customWidth="1" style="3" min="10" max="10"/>
    <col width="9" customWidth="1" style="58" min="11" max="12"/>
    <col width="9" customWidth="1" style="59" min="13" max="13"/>
    <col width="9" customWidth="1" style="58" min="14" max="15"/>
    <col width="9" customWidth="1" style="59" min="16" max="18"/>
    <col width="23.1640625" customWidth="1" style="1" min="19" max="19"/>
    <col width="9" customWidth="1" style="1" min="20" max="16384"/>
  </cols>
  <sheetData>
    <row r="1" ht="33.75" customHeight="1" s="60">
      <c r="A1" s="46" t="inlineStr">
        <is>
          <t>▣ 현대그린푸드 견적서_송영신목장</t>
        </is>
      </c>
    </row>
    <row r="2" ht="5" customFormat="1" customHeight="1" s="7">
      <c r="A2" s="6" t="n"/>
      <c r="B2" s="11" t="n"/>
      <c r="C2" s="61" t="n"/>
      <c r="D2" s="6" t="n"/>
      <c r="E2" s="6" t="n"/>
      <c r="F2" s="11" t="n"/>
      <c r="G2" s="11" t="n"/>
      <c r="H2" s="11" t="n"/>
      <c r="I2" s="11" t="n"/>
      <c r="J2" s="11" t="n"/>
      <c r="K2" s="62" t="n"/>
      <c r="L2" s="62" t="n"/>
      <c r="M2" s="63" t="n"/>
      <c r="N2" s="62" t="n"/>
      <c r="O2" s="62" t="n"/>
      <c r="P2" s="63" t="n"/>
      <c r="Q2" s="63" t="n"/>
      <c r="R2" s="63" t="n"/>
      <c r="S2" s="6" t="n"/>
    </row>
    <row r="3" ht="20" customHeight="1" s="60">
      <c r="A3" s="8" t="inlineStr">
        <is>
          <t>[단위 : 원]</t>
        </is>
      </c>
      <c r="B3" s="8" t="n"/>
      <c r="C3" s="64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</row>
    <row r="4" ht="20" customHeight="1" s="60" thickBot="1">
      <c r="A4" s="45" t="inlineStr">
        <is>
          <t>No.</t>
        </is>
      </c>
      <c r="B4" s="45" t="inlineStr">
        <is>
          <t>카테고리</t>
        </is>
      </c>
      <c r="C4" s="65" t="inlineStr">
        <is>
          <t>KAN코드</t>
        </is>
      </c>
      <c r="D4" s="45" t="inlineStr">
        <is>
          <t>단품명</t>
        </is>
      </c>
      <c r="E4" s="45" t="inlineStr">
        <is>
          <t>규격</t>
        </is>
      </c>
      <c r="F4" s="55" t="inlineStr">
        <is>
          <t>박스
입수</t>
        </is>
      </c>
      <c r="G4" s="55" t="inlineStr">
        <is>
          <t>보관
온도</t>
        </is>
      </c>
      <c r="H4" s="56" t="inlineStr">
        <is>
          <t>세구분</t>
        </is>
      </c>
      <c r="I4" s="45" t="inlineStr">
        <is>
          <t>거래조건</t>
        </is>
      </c>
      <c r="J4" s="56" t="inlineStr">
        <is>
          <t>경로</t>
        </is>
      </c>
      <c r="K4" s="45" t="inlineStr">
        <is>
          <t>가격정보</t>
        </is>
      </c>
      <c r="L4" s="66" t="n"/>
      <c r="M4" s="66" t="n"/>
      <c r="N4" s="66" t="n"/>
      <c r="O4" s="66" t="n"/>
      <c r="P4" s="67" t="n"/>
      <c r="Q4" s="50" t="inlineStr">
        <is>
          <t>할인율</t>
        </is>
      </c>
      <c r="R4" s="68" t="n"/>
      <c r="S4" s="45" t="inlineStr">
        <is>
          <t>비고</t>
        </is>
      </c>
    </row>
    <row r="5" ht="29.25" customHeight="1" s="60" thickTop="1">
      <c r="A5" s="69" t="n"/>
      <c r="B5" s="69" t="n"/>
      <c r="C5" s="69" t="n"/>
      <c r="D5" s="69" t="n"/>
      <c r="E5" s="69" t="n"/>
      <c r="F5" s="69" t="n"/>
      <c r="G5" s="69" t="n"/>
      <c r="H5" s="70" t="n"/>
      <c r="I5" s="69" t="n"/>
      <c r="J5" s="70" t="n"/>
      <c r="K5" s="71" t="inlineStr">
        <is>
          <t>정상원가
(V.A.T-)</t>
        </is>
      </c>
      <c r="L5" s="72" t="inlineStr">
        <is>
          <t>정상매가
(V.A.T+)</t>
        </is>
      </c>
      <c r="M5" s="73" t="inlineStr">
        <is>
          <t>M/G</t>
        </is>
      </c>
      <c r="N5" s="71" t="inlineStr">
        <is>
          <t>행사원가
(V.A.T-)</t>
        </is>
      </c>
      <c r="O5" s="72" t="inlineStr">
        <is>
          <t>행사매가
(V.A.T+)</t>
        </is>
      </c>
      <c r="P5" s="74" t="inlineStr">
        <is>
          <t>M/G</t>
        </is>
      </c>
      <c r="Q5" s="45" t="inlineStr">
        <is>
          <t>원가</t>
        </is>
      </c>
      <c r="R5" s="75" t="inlineStr">
        <is>
          <t>매가</t>
        </is>
      </c>
      <c r="S5" s="69" t="n"/>
    </row>
    <row r="6" ht="20" customHeight="1" s="60">
      <c r="A6" s="16" t="inlineStr">
        <is>
          <t>예시</t>
        </is>
      </c>
      <c r="B6" s="16" t="inlineStr">
        <is>
          <t>즉석밥</t>
        </is>
      </c>
      <c r="C6" s="76" t="n">
        <v>8801007202709</v>
      </c>
      <c r="D6" s="17" t="inlineStr">
        <is>
          <t>[씨제이]햇반 백미밥 12입</t>
        </is>
      </c>
      <c r="E6" s="17" t="inlineStr">
        <is>
          <t>210g*12</t>
        </is>
      </c>
      <c r="F6" s="16" t="n">
        <v>1</v>
      </c>
      <c r="G6" s="21" t="inlineStr">
        <is>
          <t>상온</t>
        </is>
      </c>
      <c r="H6" s="21" t="inlineStr">
        <is>
          <t>과세</t>
        </is>
      </c>
      <c r="I6" s="21" t="inlineStr">
        <is>
          <t>직매입</t>
        </is>
      </c>
      <c r="J6" s="21" t="inlineStr">
        <is>
          <t>R1(비축)</t>
        </is>
      </c>
      <c r="K6" s="77" t="n">
        <v>10000</v>
      </c>
      <c r="L6" s="78" t="n">
        <v>17500</v>
      </c>
      <c r="M6" s="79">
        <f>IF($H6="과세",(L6-K6*1.1)/L6,(L6-K6)/L6)</f>
        <v/>
      </c>
      <c r="N6" s="77" t="n">
        <v>5000</v>
      </c>
      <c r="O6" s="78" t="n">
        <v>10000</v>
      </c>
      <c r="P6" s="80">
        <f>IF($H6="과세",(O6-N6*1.1)/O6,(O6-N6)/O6)</f>
        <v/>
      </c>
      <c r="Q6" s="81">
        <f>(K6-N6)/K6</f>
        <v/>
      </c>
      <c r="R6" s="81">
        <f>(L6-O6)/L6</f>
        <v/>
      </c>
      <c r="S6" s="19" t="inlineStr">
        <is>
          <t>※ 직매입 조건</t>
        </is>
      </c>
    </row>
    <row r="7" ht="20" customHeight="1" s="60">
      <c r="A7" s="2" t="n">
        <v>1</v>
      </c>
      <c r="B7" s="2" t="inlineStr">
        <is>
          <t>우유</t>
        </is>
      </c>
      <c r="C7" s="82" t="n">
        <v>8800348640003</v>
      </c>
      <c r="D7" s="12" t="inlineStr">
        <is>
          <t>송영신목장 A2저지 헤이밀크</t>
        </is>
      </c>
      <c r="E7" s="12" t="inlineStr">
        <is>
          <t>180ML</t>
        </is>
      </c>
      <c r="F7" s="2" t="n">
        <v>50</v>
      </c>
      <c r="G7" s="22" t="inlineStr">
        <is>
          <t>4도</t>
        </is>
      </c>
      <c r="H7" s="22" t="inlineStr">
        <is>
          <t>면세</t>
        </is>
      </c>
      <c r="I7" s="22" t="inlineStr">
        <is>
          <t>직매입</t>
        </is>
      </c>
      <c r="J7" s="22" t="inlineStr">
        <is>
          <t>냉장 직송</t>
        </is>
      </c>
      <c r="K7" s="83" t="n">
        <v>2450</v>
      </c>
      <c r="L7" s="84" t="n">
        <v>3500</v>
      </c>
      <c r="M7" s="85">
        <f>IF($H7="과세",(L7-K7*1.1)/L7,(L7-K7)/L7)</f>
        <v/>
      </c>
      <c r="N7" s="83" t="n">
        <v>2200</v>
      </c>
      <c r="O7" s="84" t="n">
        <v>3150</v>
      </c>
      <c r="P7" s="86">
        <f>IF($H7="과세",(O7-N7*1.1)/O7,(O7-N7)/O7)</f>
        <v/>
      </c>
      <c r="Q7" s="87">
        <f>(K7-N7)/K7</f>
        <v/>
      </c>
      <c r="R7" s="87">
        <f>(L7-O7)/L7</f>
        <v/>
      </c>
      <c r="S7" s="43" t="inlineStr">
        <is>
          <t>※ 직매입 · 냉장 4℃ · 저온살균 A2 저지 우유 · 원가는 M/G 30% 기준 제안(안) · 유통기한 확인 필요</t>
        </is>
      </c>
    </row>
    <row r="8" ht="20" customHeight="1" s="60">
      <c r="A8" s="2" t="n">
        <v>2</v>
      </c>
      <c r="B8" s="2" t="inlineStr">
        <is>
          <t>우유</t>
        </is>
      </c>
      <c r="C8" s="44" t="inlineStr">
        <is>
          <t>8800348640027</t>
        </is>
      </c>
      <c r="D8" s="12" t="inlineStr">
        <is>
          <t>송영신목장 A2저지 헤이밀크</t>
        </is>
      </c>
      <c r="E8" s="12" t="inlineStr">
        <is>
          <t>750ML</t>
        </is>
      </c>
      <c r="F8" s="2" t="n">
        <v>16</v>
      </c>
      <c r="G8" s="22" t="inlineStr">
        <is>
          <t>4도</t>
        </is>
      </c>
      <c r="H8" s="22" t="inlineStr">
        <is>
          <t>면세</t>
        </is>
      </c>
      <c r="I8" s="22" t="inlineStr">
        <is>
          <t>직매입</t>
        </is>
      </c>
      <c r="J8" s="22" t="inlineStr">
        <is>
          <t>냉장 직송</t>
        </is>
      </c>
      <c r="K8" s="83" t="n">
        <v>7700</v>
      </c>
      <c r="L8" s="84" t="n">
        <v>11000</v>
      </c>
      <c r="M8" s="85">
        <f>IF($H8="과세",(L8-K8*1.1)/L8,(L8-K8)/L8)</f>
        <v/>
      </c>
      <c r="N8" s="83" t="n">
        <v>6930</v>
      </c>
      <c r="O8" s="84" t="n">
        <v>9900</v>
      </c>
      <c r="P8" s="86">
        <f>IF($H8="과세",(O8-N8*1.1)/O8,(O8-N8)/O8)</f>
        <v/>
      </c>
      <c r="Q8" s="87">
        <f>(K8-N8)/K8</f>
        <v/>
      </c>
      <c r="R8" s="87">
        <f>(L8-O8)/L8</f>
        <v/>
      </c>
      <c r="S8" s="43" t="inlineStr">
        <is>
          <t>※ 직매입 · 냉장 4℃ · 매가·원가 제안(안, 180ML 대비 mL당 약 25% 인하) · 유통기한 확인 필요</t>
        </is>
      </c>
    </row>
    <row r="9" ht="20" customHeight="1" s="60">
      <c r="A9" s="2" t="n">
        <v>3</v>
      </c>
      <c r="B9" s="2" t="inlineStr">
        <is>
          <t>발효유</t>
        </is>
      </c>
      <c r="C9" s="44" t="inlineStr">
        <is>
          <t>8800348640058</t>
        </is>
      </c>
      <c r="D9" s="12" t="inlineStr">
        <is>
          <t>송영신목장 A2저지 플레인요거트</t>
        </is>
      </c>
      <c r="E9" s="12" t="inlineStr">
        <is>
          <t>180ML</t>
        </is>
      </c>
      <c r="F9" s="2" t="n">
        <v>50</v>
      </c>
      <c r="G9" s="22" t="inlineStr">
        <is>
          <t>4도</t>
        </is>
      </c>
      <c r="H9" s="22" t="inlineStr">
        <is>
          <t>과세</t>
        </is>
      </c>
      <c r="I9" s="22" t="inlineStr">
        <is>
          <t>직매입</t>
        </is>
      </c>
      <c r="J9" s="22" t="inlineStr">
        <is>
          <t>냉장 직송</t>
        </is>
      </c>
      <c r="K9" s="83" t="n">
        <v>2860</v>
      </c>
      <c r="L9" s="84" t="n">
        <v>4500</v>
      </c>
      <c r="M9" s="85">
        <f>IF($H9="과세",(L9-K9*1.1)/L9,(L9-K9)/L9)</f>
        <v/>
      </c>
      <c r="N9" s="83" t="n">
        <v>2570</v>
      </c>
      <c r="O9" s="84" t="n">
        <v>4050</v>
      </c>
      <c r="P9" s="86">
        <f>IF($H9="과세",(O9-N9*1.1)/O9,(O9-N9)/O9)</f>
        <v/>
      </c>
      <c r="Q9" s="87">
        <f>(K9-N9)/K9</f>
        <v/>
      </c>
      <c r="R9" s="87">
        <f>(L9-O9)/L9</f>
        <v/>
      </c>
      <c r="S9" s="43" t="inlineStr">
        <is>
          <t>※ 직매입 · 냉장 4℃ · 무가당 플레인(과세) · 매가·원가 제안(안) · 유통기한 확인 필요</t>
        </is>
      </c>
    </row>
    <row r="10" ht="20" customHeight="1" s="60">
      <c r="A10" s="2" t="n">
        <v>4</v>
      </c>
      <c r="B10" s="2" t="inlineStr">
        <is>
          <t>발효유</t>
        </is>
      </c>
      <c r="C10" s="44" t="inlineStr">
        <is>
          <t>8800348640010</t>
        </is>
      </c>
      <c r="D10" s="12" t="inlineStr">
        <is>
          <t>송영신목장 A2저지 플레인요거트</t>
        </is>
      </c>
      <c r="E10" s="12" t="inlineStr">
        <is>
          <t>500ML</t>
        </is>
      </c>
      <c r="F10" s="2" t="n">
        <v>16</v>
      </c>
      <c r="G10" s="22" t="inlineStr">
        <is>
          <t>4도</t>
        </is>
      </c>
      <c r="H10" s="22" t="inlineStr">
        <is>
          <t>과세</t>
        </is>
      </c>
      <c r="I10" s="22" t="inlineStr">
        <is>
          <t>직매입</t>
        </is>
      </c>
      <c r="J10" s="22" t="inlineStr">
        <is>
          <t>냉장 직송</t>
        </is>
      </c>
      <c r="K10" s="83" t="n">
        <v>6050</v>
      </c>
      <c r="L10" s="84" t="n">
        <v>9500</v>
      </c>
      <c r="M10" s="85">
        <f>IF($H10="과세",(L10-K10*1.1)/L10,(L10-K10)/L10)</f>
        <v/>
      </c>
      <c r="N10" s="83" t="n">
        <v>5440</v>
      </c>
      <c r="O10" s="84" t="n">
        <v>8550</v>
      </c>
      <c r="P10" s="86">
        <f>IF($H10="과세",(O10-N10*1.1)/O10,(O10-N10)/O10)</f>
        <v/>
      </c>
      <c r="Q10" s="87">
        <f>(K10-N10)/K10</f>
        <v/>
      </c>
      <c r="R10" s="87">
        <f>(L10-O10)/L10</f>
        <v/>
      </c>
      <c r="S10" s="43" t="inlineStr">
        <is>
          <t>※ 직매입 · 냉장 4℃ · 무가당 플레인(과세) · 매가·원가 제안(안) · 유통기한 확인 필요</t>
        </is>
      </c>
    </row>
    <row r="11" ht="20" customHeight="1" s="60">
      <c r="A11" s="2" t="n">
        <v>5</v>
      </c>
      <c r="B11" s="2" t="n"/>
      <c r="C11" s="82" t="n"/>
      <c r="D11" s="12" t="n"/>
      <c r="E11" s="12" t="n"/>
      <c r="F11" s="2" t="n"/>
      <c r="G11" s="22" t="n"/>
      <c r="H11" s="22" t="n"/>
      <c r="I11" s="22" t="n"/>
      <c r="J11" s="22" t="n"/>
      <c r="K11" s="83" t="n"/>
      <c r="L11" s="84" t="n"/>
      <c r="M11" s="85">
        <f>IF($H11="과세",(L11-K11*1.1)/L11,(L11-K11)/L11)</f>
        <v/>
      </c>
      <c r="N11" s="83" t="n"/>
      <c r="O11" s="84" t="n"/>
      <c r="P11" s="86">
        <f>IF($H11="과세",(O11-N11*1.1)/O11,(O11-N11)/O11)</f>
        <v/>
      </c>
      <c r="Q11" s="87">
        <f>(K11-N11)/K11</f>
        <v/>
      </c>
      <c r="R11" s="87">
        <f>(L11-O11)/L11</f>
        <v/>
      </c>
      <c r="S11" s="43" t="n"/>
    </row>
    <row r="12" ht="20" customHeight="1" s="60">
      <c r="A12" s="2" t="n">
        <v>6</v>
      </c>
      <c r="B12" s="2" t="n"/>
      <c r="C12" s="82" t="n"/>
      <c r="D12" s="12" t="n"/>
      <c r="E12" s="12" t="n"/>
      <c r="F12" s="2" t="n"/>
      <c r="G12" s="22" t="n"/>
      <c r="H12" s="22" t="n"/>
      <c r="I12" s="22" t="n"/>
      <c r="J12" s="22" t="n"/>
      <c r="K12" s="83" t="n"/>
      <c r="L12" s="84" t="n"/>
      <c r="M12" s="85">
        <f>IF($H12="과세",(L12-K12*1.1)/L12,(L12-K12)/L12)</f>
        <v/>
      </c>
      <c r="N12" s="83" t="n"/>
      <c r="O12" s="84" t="n"/>
      <c r="P12" s="86">
        <f>IF($H12="과세",(O12-N12*1.1)/O12,(O12-N12)/O12)</f>
        <v/>
      </c>
      <c r="Q12" s="87">
        <f>(K12-N12)/K12</f>
        <v/>
      </c>
      <c r="R12" s="87">
        <f>(L12-O12)/L12</f>
        <v/>
      </c>
      <c r="S12" s="43" t="n"/>
    </row>
    <row r="13" ht="20" customHeight="1" s="60">
      <c r="A13" s="2" t="n">
        <v>7</v>
      </c>
      <c r="B13" s="2" t="n"/>
      <c r="C13" s="82" t="n"/>
      <c r="D13" s="12" t="n"/>
      <c r="E13" s="12" t="n"/>
      <c r="F13" s="2" t="n"/>
      <c r="G13" s="22" t="n"/>
      <c r="H13" s="22" t="n"/>
      <c r="I13" s="22" t="n"/>
      <c r="J13" s="22" t="n"/>
      <c r="K13" s="83" t="n"/>
      <c r="L13" s="84" t="n"/>
      <c r="M13" s="85">
        <f>IF($H13="과세",(L13-K13*1.1)/L13,(L13-K13)/L13)</f>
        <v/>
      </c>
      <c r="N13" s="83" t="n"/>
      <c r="O13" s="84" t="n"/>
      <c r="P13" s="86">
        <f>IF($H13="과세",(O13-N13*1.1)/O13,(O13-N13)/O13)</f>
        <v/>
      </c>
      <c r="Q13" s="87">
        <f>(K13-N13)/K13</f>
        <v/>
      </c>
      <c r="R13" s="87">
        <f>(L13-O13)/L13</f>
        <v/>
      </c>
      <c r="S13" s="43" t="n"/>
    </row>
    <row r="14" ht="20" customHeight="1" s="60">
      <c r="A14" s="2" t="n">
        <v>8</v>
      </c>
      <c r="B14" s="2" t="n"/>
      <c r="C14" s="82" t="n"/>
      <c r="D14" s="12" t="n"/>
      <c r="E14" s="12" t="n"/>
      <c r="F14" s="2" t="n"/>
      <c r="G14" s="22" t="n"/>
      <c r="H14" s="22" t="n"/>
      <c r="I14" s="22" t="n"/>
      <c r="J14" s="22" t="n"/>
      <c r="K14" s="83" t="n"/>
      <c r="L14" s="84" t="n"/>
      <c r="M14" s="85">
        <f>IF($H14="과세",(L14-K14*1.1)/L14,(L14-K14)/L14)</f>
        <v/>
      </c>
      <c r="N14" s="83" t="n"/>
      <c r="O14" s="84" t="n"/>
      <c r="P14" s="86">
        <f>IF($H14="과세",(O14-N14*1.1)/O14,(O14-N14)/O14)</f>
        <v/>
      </c>
      <c r="Q14" s="87">
        <f>(K14-N14)/K14</f>
        <v/>
      </c>
      <c r="R14" s="87">
        <f>(L14-O14)/L14</f>
        <v/>
      </c>
      <c r="S14" s="43" t="n"/>
    </row>
    <row r="15" ht="20" customHeight="1" s="60">
      <c r="A15" s="2" t="n">
        <v>9</v>
      </c>
      <c r="B15" s="2" t="n"/>
      <c r="C15" s="82" t="n"/>
      <c r="D15" s="12" t="n"/>
      <c r="E15" s="12" t="n"/>
      <c r="F15" s="2" t="n"/>
      <c r="G15" s="22" t="n"/>
      <c r="H15" s="22" t="n"/>
      <c r="I15" s="22" t="n"/>
      <c r="J15" s="22" t="n"/>
      <c r="K15" s="83" t="n"/>
      <c r="L15" s="84" t="n"/>
      <c r="M15" s="85">
        <f>IF($H15="과세",(L15-K15*1.1)/L15,(L15-K15)/L15)</f>
        <v/>
      </c>
      <c r="N15" s="83" t="n"/>
      <c r="O15" s="84" t="n"/>
      <c r="P15" s="86">
        <f>IF($H15="과세",(O15-N15*1.1)/O15,(O15-N15)/O15)</f>
        <v/>
      </c>
      <c r="Q15" s="87">
        <f>(K15-N15)/K15</f>
        <v/>
      </c>
      <c r="R15" s="87">
        <f>(L15-O15)/L15</f>
        <v/>
      </c>
      <c r="S15" s="43" t="n"/>
    </row>
    <row r="16" ht="20" customHeight="1" s="60">
      <c r="A16" s="2" t="n">
        <v>10</v>
      </c>
      <c r="B16" s="2" t="n"/>
      <c r="C16" s="82" t="n"/>
      <c r="D16" s="12" t="n"/>
      <c r="E16" s="12" t="n"/>
      <c r="F16" s="2" t="n"/>
      <c r="G16" s="22" t="n"/>
      <c r="H16" s="22" t="n"/>
      <c r="I16" s="22" t="n"/>
      <c r="J16" s="22" t="n"/>
      <c r="K16" s="83" t="n"/>
      <c r="L16" s="84" t="n"/>
      <c r="M16" s="85">
        <f>IF($H16="과세",(L16-K16*1.1)/L16,(L16-K16)/L16)</f>
        <v/>
      </c>
      <c r="N16" s="83" t="n"/>
      <c r="O16" s="84" t="n"/>
      <c r="P16" s="86">
        <f>IF($H16="과세",(O16-N16*1.1)/O16,(O16-N16)/O16)</f>
        <v/>
      </c>
      <c r="Q16" s="87">
        <f>(K16-N16)/K16</f>
        <v/>
      </c>
      <c r="R16" s="87">
        <f>(L16-O16)/L16</f>
        <v/>
      </c>
      <c r="S16" s="43" t="n"/>
    </row>
    <row r="17" ht="20" customHeight="1" s="60">
      <c r="A17" s="2" t="n">
        <v>11</v>
      </c>
      <c r="B17" s="2" t="n"/>
      <c r="C17" s="82" t="n"/>
      <c r="D17" s="12" t="n"/>
      <c r="E17" s="12" t="n"/>
      <c r="F17" s="2" t="n"/>
      <c r="G17" s="22" t="n"/>
      <c r="H17" s="22" t="n"/>
      <c r="I17" s="22" t="n"/>
      <c r="J17" s="22" t="n"/>
      <c r="K17" s="83" t="n"/>
      <c r="L17" s="84" t="n"/>
      <c r="M17" s="85">
        <f>IF($H17="과세",(L17-K17*1.1)/L17,(L17-K17)/L17)</f>
        <v/>
      </c>
      <c r="N17" s="83" t="n"/>
      <c r="O17" s="84" t="n"/>
      <c r="P17" s="86">
        <f>IF($H17="과세",(O17-N17*1.1)/O17,(O17-N17)/O17)</f>
        <v/>
      </c>
      <c r="Q17" s="87">
        <f>(K17-N17)/K17</f>
        <v/>
      </c>
      <c r="R17" s="87">
        <f>(L17-O17)/L17</f>
        <v/>
      </c>
      <c r="S17" s="43" t="n"/>
    </row>
    <row r="18" ht="20" customHeight="1" s="60">
      <c r="A18" s="2" t="n">
        <v>12</v>
      </c>
      <c r="B18" s="2" t="n"/>
      <c r="C18" s="82" t="n"/>
      <c r="D18" s="12" t="n"/>
      <c r="E18" s="12" t="n"/>
      <c r="F18" s="2" t="n"/>
      <c r="G18" s="22" t="n"/>
      <c r="H18" s="22" t="n"/>
      <c r="I18" s="22" t="n"/>
      <c r="J18" s="22" t="n"/>
      <c r="K18" s="83" t="n"/>
      <c r="L18" s="84" t="n"/>
      <c r="M18" s="85">
        <f>IF($H18="과세",(L18-K18*1.1)/L18,(L18-K18)/L18)</f>
        <v/>
      </c>
      <c r="N18" s="83" t="n"/>
      <c r="O18" s="84" t="n"/>
      <c r="P18" s="86">
        <f>IF($H18="과세",(O18-N18*1.1)/O18,(O18-N18)/O18)</f>
        <v/>
      </c>
      <c r="Q18" s="87">
        <f>(K18-N18)/K18</f>
        <v/>
      </c>
      <c r="R18" s="87">
        <f>(L18-O18)/L18</f>
        <v/>
      </c>
      <c r="S18" s="43" t="n"/>
    </row>
    <row r="19" ht="20" customHeight="1" s="60">
      <c r="A19" s="2" t="n">
        <v>13</v>
      </c>
      <c r="B19" s="2" t="n"/>
      <c r="C19" s="82" t="n"/>
      <c r="D19" s="12" t="n"/>
      <c r="E19" s="12" t="n"/>
      <c r="F19" s="2" t="n"/>
      <c r="G19" s="22" t="n"/>
      <c r="H19" s="22" t="n"/>
      <c r="I19" s="22" t="n"/>
      <c r="J19" s="22" t="n"/>
      <c r="K19" s="83" t="n"/>
      <c r="L19" s="84" t="n"/>
      <c r="M19" s="85">
        <f>IF($H19="과세",(L19-K19*1.1)/L19,(L19-K19)/L19)</f>
        <v/>
      </c>
      <c r="N19" s="83" t="n"/>
      <c r="O19" s="84" t="n"/>
      <c r="P19" s="86">
        <f>IF($H19="과세",(O19-N19*1.1)/O19,(O19-N19)/O19)</f>
        <v/>
      </c>
      <c r="Q19" s="87">
        <f>(K19-N19)/K19</f>
        <v/>
      </c>
      <c r="R19" s="87">
        <f>(L19-O19)/L19</f>
        <v/>
      </c>
      <c r="S19" s="43" t="n"/>
    </row>
    <row r="20" ht="20" customHeight="1" s="60">
      <c r="A20" s="2" t="n">
        <v>14</v>
      </c>
      <c r="B20" s="2" t="n"/>
      <c r="C20" s="82" t="n"/>
      <c r="D20" s="12" t="n"/>
      <c r="E20" s="12" t="n"/>
      <c r="F20" s="2" t="n"/>
      <c r="G20" s="22" t="n"/>
      <c r="H20" s="22" t="n"/>
      <c r="I20" s="22" t="n"/>
      <c r="J20" s="22" t="n"/>
      <c r="K20" s="83" t="n"/>
      <c r="L20" s="84" t="n"/>
      <c r="M20" s="85">
        <f>IF($H20="과세",(L20-K20*1.1)/L20,(L20-K20)/L20)</f>
        <v/>
      </c>
      <c r="N20" s="83" t="n"/>
      <c r="O20" s="84" t="n"/>
      <c r="P20" s="86">
        <f>IF($H20="과세",(O20-N20*1.1)/O20,(O20-N20)/O20)</f>
        <v/>
      </c>
      <c r="Q20" s="87">
        <f>(K20-N20)/K20</f>
        <v/>
      </c>
      <c r="R20" s="87">
        <f>(L20-O20)/L20</f>
        <v/>
      </c>
      <c r="S20" s="43" t="n"/>
    </row>
    <row r="21" ht="20" customHeight="1" s="60">
      <c r="A21" s="2" t="n">
        <v>15</v>
      </c>
      <c r="B21" s="2" t="n"/>
      <c r="C21" s="82" t="n"/>
      <c r="D21" s="12" t="n"/>
      <c r="E21" s="12" t="n"/>
      <c r="F21" s="2" t="n"/>
      <c r="G21" s="22" t="n"/>
      <c r="H21" s="22" t="n"/>
      <c r="I21" s="22" t="n"/>
      <c r="J21" s="22" t="n"/>
      <c r="K21" s="83" t="n"/>
      <c r="L21" s="84" t="n"/>
      <c r="M21" s="85">
        <f>IF($H21="과세",(L21-K21*1.1)/L21,(L21-K21)/L21)</f>
        <v/>
      </c>
      <c r="N21" s="83" t="n"/>
      <c r="O21" s="84" t="n"/>
      <c r="P21" s="86">
        <f>IF($H21="과세",(O21-N21*1.1)/O21,(O21-N21)/O21)</f>
        <v/>
      </c>
      <c r="Q21" s="87">
        <f>(K21-N21)/K21</f>
        <v/>
      </c>
      <c r="R21" s="87">
        <f>(L21-O21)/L21</f>
        <v/>
      </c>
      <c r="S21" s="43" t="n"/>
    </row>
    <row r="22" ht="20" customHeight="1" s="60">
      <c r="A22" s="2" t="n">
        <v>16</v>
      </c>
      <c r="B22" s="2" t="n"/>
      <c r="C22" s="82" t="n"/>
      <c r="D22" s="12" t="n"/>
      <c r="E22" s="12" t="n"/>
      <c r="F22" s="2" t="n"/>
      <c r="G22" s="22" t="n"/>
      <c r="H22" s="22" t="n"/>
      <c r="I22" s="22" t="n"/>
      <c r="J22" s="22" t="n"/>
      <c r="K22" s="83" t="n"/>
      <c r="L22" s="84" t="n"/>
      <c r="M22" s="85">
        <f>IF($H22="과세",(L22-K22*1.1)/L22,(L22-K22)/L22)</f>
        <v/>
      </c>
      <c r="N22" s="83" t="n"/>
      <c r="O22" s="84" t="n"/>
      <c r="P22" s="86">
        <f>IF($H22="과세",(O22-N22*1.1)/O22,(O22-N22)/O22)</f>
        <v/>
      </c>
      <c r="Q22" s="87">
        <f>(K22-N22)/K22</f>
        <v/>
      </c>
      <c r="R22" s="87">
        <f>(L22-O22)/L22</f>
        <v/>
      </c>
      <c r="S22" s="43" t="n"/>
    </row>
    <row r="23" ht="20" customHeight="1" s="60">
      <c r="A23" s="2" t="n">
        <v>17</v>
      </c>
      <c r="B23" s="2" t="n"/>
      <c r="C23" s="82" t="n"/>
      <c r="D23" s="12" t="n"/>
      <c r="E23" s="12" t="n"/>
      <c r="F23" s="2" t="n"/>
      <c r="G23" s="22" t="n"/>
      <c r="H23" s="22" t="n"/>
      <c r="I23" s="22" t="n"/>
      <c r="J23" s="22" t="n"/>
      <c r="K23" s="83" t="n"/>
      <c r="L23" s="84" t="n"/>
      <c r="M23" s="85">
        <f>IF($H23="과세",(L23-K23*1.1)/L23,(L23-K23)/L23)</f>
        <v/>
      </c>
      <c r="N23" s="83" t="n"/>
      <c r="O23" s="84" t="n"/>
      <c r="P23" s="86">
        <f>IF($H23="과세",(O23-N23*1.1)/O23,(O23-N23)/O23)</f>
        <v/>
      </c>
      <c r="Q23" s="87">
        <f>(K23-N23)/K23</f>
        <v/>
      </c>
      <c r="R23" s="87">
        <f>(L23-O23)/L23</f>
        <v/>
      </c>
      <c r="S23" s="43" t="n"/>
    </row>
    <row r="24" ht="20" customHeight="1" s="60">
      <c r="A24" s="2" t="n">
        <v>18</v>
      </c>
      <c r="B24" s="2" t="n"/>
      <c r="C24" s="82" t="n"/>
      <c r="D24" s="12" t="n"/>
      <c r="E24" s="12" t="n"/>
      <c r="F24" s="2" t="n"/>
      <c r="G24" s="22" t="n"/>
      <c r="H24" s="22" t="n"/>
      <c r="I24" s="22" t="n"/>
      <c r="J24" s="22" t="n"/>
      <c r="K24" s="83" t="n"/>
      <c r="L24" s="84" t="n"/>
      <c r="M24" s="85">
        <f>IF($H24="과세",(L24-K24*1.1)/L24,(L24-K24)/L24)</f>
        <v/>
      </c>
      <c r="N24" s="83" t="n"/>
      <c r="O24" s="84" t="n"/>
      <c r="P24" s="86">
        <f>IF($H24="과세",(O24-N24*1.1)/O24,(O24-N24)/O24)</f>
        <v/>
      </c>
      <c r="Q24" s="87">
        <f>(K24-N24)/K24</f>
        <v/>
      </c>
      <c r="R24" s="87">
        <f>(L24-O24)/L24</f>
        <v/>
      </c>
      <c r="S24" s="43" t="n"/>
    </row>
    <row r="25" ht="20" customHeight="1" s="60">
      <c r="A25" s="2" t="n">
        <v>19</v>
      </c>
      <c r="B25" s="2" t="n"/>
      <c r="C25" s="82" t="n"/>
      <c r="D25" s="12" t="n"/>
      <c r="E25" s="12" t="n"/>
      <c r="F25" s="2" t="n"/>
      <c r="G25" s="22" t="n"/>
      <c r="H25" s="22" t="n"/>
      <c r="I25" s="22" t="n"/>
      <c r="J25" s="22" t="n"/>
      <c r="K25" s="83" t="n"/>
      <c r="L25" s="84" t="n"/>
      <c r="M25" s="85">
        <f>IF($H25="과세",(L25-K25*1.1)/L25,(L25-K25)/L25)</f>
        <v/>
      </c>
      <c r="N25" s="83" t="n"/>
      <c r="O25" s="84" t="n"/>
      <c r="P25" s="86">
        <f>IF($H25="과세",(O25-N25*1.1)/O25,(O25-N25)/O25)</f>
        <v/>
      </c>
      <c r="Q25" s="87">
        <f>(K25-N25)/K25</f>
        <v/>
      </c>
      <c r="R25" s="87">
        <f>(L25-O25)/L25</f>
        <v/>
      </c>
      <c r="S25" s="43" t="n"/>
    </row>
    <row r="26" ht="20" customHeight="1" s="60">
      <c r="A26" s="2" t="n">
        <v>20</v>
      </c>
      <c r="B26" s="2" t="n"/>
      <c r="C26" s="82" t="n"/>
      <c r="D26" s="12" t="n"/>
      <c r="E26" s="12" t="n"/>
      <c r="F26" s="2" t="n"/>
      <c r="G26" s="22" t="n"/>
      <c r="H26" s="22" t="n"/>
      <c r="I26" s="22" t="n"/>
      <c r="J26" s="22" t="n"/>
      <c r="K26" s="83" t="n"/>
      <c r="L26" s="84" t="n"/>
      <c r="M26" s="85">
        <f>IF($H26="과세",(L26-K26*1.1)/L26,(L26-K26)/L26)</f>
        <v/>
      </c>
      <c r="N26" s="83" t="n"/>
      <c r="O26" s="84" t="n"/>
      <c r="P26" s="86">
        <f>IF($H26="과세",(O26-N26*1.1)/O26,(O26-N26)/O26)</f>
        <v/>
      </c>
      <c r="Q26" s="87">
        <f>(K26-N26)/K26</f>
        <v/>
      </c>
      <c r="R26" s="87">
        <f>(L26-O26)/L26</f>
        <v/>
      </c>
      <c r="S26" s="43" t="n"/>
    </row>
    <row r="27" ht="20" customHeight="1" s="60">
      <c r="A27" s="2" t="n">
        <v>21</v>
      </c>
      <c r="B27" s="2" t="n"/>
      <c r="C27" s="82" t="n"/>
      <c r="D27" s="12" t="n"/>
      <c r="E27" s="12" t="n"/>
      <c r="F27" s="2" t="n"/>
      <c r="G27" s="22" t="n"/>
      <c r="H27" s="22" t="n"/>
      <c r="I27" s="22" t="n"/>
      <c r="J27" s="22" t="n"/>
      <c r="K27" s="83" t="n"/>
      <c r="L27" s="84" t="n"/>
      <c r="M27" s="85">
        <f>IF($H27="과세",(L27-K27*1.1)/L27,(L27-K27)/L27)</f>
        <v/>
      </c>
      <c r="N27" s="83" t="n"/>
      <c r="O27" s="84" t="n"/>
      <c r="P27" s="86">
        <f>IF($H27="과세",(O27-N27*1.1)/O27,(O27-N27)/O27)</f>
        <v/>
      </c>
      <c r="Q27" s="87">
        <f>(K27-N27)/K27</f>
        <v/>
      </c>
      <c r="R27" s="87">
        <f>(L27-O27)/L27</f>
        <v/>
      </c>
      <c r="S27" s="43" t="n"/>
    </row>
    <row r="28" ht="20" customHeight="1" s="60">
      <c r="A28" s="2" t="n">
        <v>22</v>
      </c>
      <c r="B28" s="2" t="n"/>
      <c r="C28" s="82" t="n"/>
      <c r="D28" s="12" t="n"/>
      <c r="E28" s="12" t="n"/>
      <c r="F28" s="2" t="n"/>
      <c r="G28" s="22" t="n"/>
      <c r="H28" s="22" t="n"/>
      <c r="I28" s="22" t="n"/>
      <c r="J28" s="22" t="n"/>
      <c r="K28" s="83" t="n"/>
      <c r="L28" s="84" t="n"/>
      <c r="M28" s="85">
        <f>IF($H28="과세",(L28-K28*1.1)/L28,(L28-K28)/L28)</f>
        <v/>
      </c>
      <c r="N28" s="83" t="n"/>
      <c r="O28" s="84" t="n"/>
      <c r="P28" s="86">
        <f>IF($H28="과세",(O28-N28*1.1)/O28,(O28-N28)/O28)</f>
        <v/>
      </c>
      <c r="Q28" s="87">
        <f>(K28-N28)/K28</f>
        <v/>
      </c>
      <c r="R28" s="87">
        <f>(L28-O28)/L28</f>
        <v/>
      </c>
      <c r="S28" s="43" t="n"/>
    </row>
    <row r="29" ht="20" customHeight="1" s="60">
      <c r="A29" s="2" t="n">
        <v>23</v>
      </c>
      <c r="B29" s="2" t="n"/>
      <c r="C29" s="82" t="n"/>
      <c r="D29" s="12" t="n"/>
      <c r="E29" s="12" t="n"/>
      <c r="F29" s="2" t="n"/>
      <c r="G29" s="22" t="n"/>
      <c r="H29" s="22" t="n"/>
      <c r="I29" s="22" t="n"/>
      <c r="J29" s="22" t="n"/>
      <c r="K29" s="83" t="n"/>
      <c r="L29" s="84" t="n"/>
      <c r="M29" s="85">
        <f>IF($H29="과세",(L29-K29*1.1)/L29,(L29-K29)/L29)</f>
        <v/>
      </c>
      <c r="N29" s="83" t="n"/>
      <c r="O29" s="84" t="n"/>
      <c r="P29" s="86">
        <f>IF($H29="과세",(O29-N29*1.1)/O29,(O29-N29)/O29)</f>
        <v/>
      </c>
      <c r="Q29" s="87">
        <f>(K29-N29)/K29</f>
        <v/>
      </c>
      <c r="R29" s="87">
        <f>(L29-O29)/L29</f>
        <v/>
      </c>
      <c r="S29" s="43" t="n"/>
    </row>
    <row r="30" ht="19.5" customHeight="1" s="60">
      <c r="A30" s="2" t="n">
        <v>24</v>
      </c>
      <c r="B30" s="2" t="n"/>
      <c r="C30" s="82" t="n"/>
      <c r="D30" s="12" t="n"/>
      <c r="E30" s="12" t="n"/>
      <c r="F30" s="2" t="n"/>
      <c r="G30" s="22" t="n"/>
      <c r="H30" s="22" t="n"/>
      <c r="I30" s="22" t="n"/>
      <c r="J30" s="22" t="n"/>
      <c r="K30" s="83" t="n"/>
      <c r="L30" s="84" t="n"/>
      <c r="M30" s="85">
        <f>IF($H30="과세",(L30-K30*1.1)/L30,(L30-K30)/L30)</f>
        <v/>
      </c>
      <c r="N30" s="83" t="n"/>
      <c r="O30" s="84" t="n"/>
      <c r="P30" s="86">
        <f>IF($H30="과세",(O30-N30*1.1)/O30,(O30-N30)/O30)</f>
        <v/>
      </c>
      <c r="Q30" s="87">
        <f>(K30-N30)/K30</f>
        <v/>
      </c>
      <c r="R30" s="87">
        <f>(L30-O30)/L30</f>
        <v/>
      </c>
      <c r="S30" s="43" t="n"/>
    </row>
    <row r="31" ht="20" customHeight="1" s="60">
      <c r="A31" s="2" t="n">
        <v>25</v>
      </c>
      <c r="B31" s="2" t="n"/>
      <c r="C31" s="82" t="n"/>
      <c r="D31" s="12" t="n"/>
      <c r="E31" s="12" t="n"/>
      <c r="F31" s="2" t="n"/>
      <c r="G31" s="22" t="n"/>
      <c r="H31" s="22" t="n"/>
      <c r="I31" s="33" t="n"/>
      <c r="J31" s="33" t="n"/>
      <c r="K31" s="88" t="n"/>
      <c r="L31" s="89" t="n"/>
      <c r="M31" s="85">
        <f>IF($H31="과세",(L31-K31*1.1)/L31,(L31-K31)/L31)</f>
        <v/>
      </c>
      <c r="N31" s="88" t="n"/>
      <c r="O31" s="89" t="n"/>
      <c r="P31" s="86">
        <f>IF($H31="과세",(O31-N31*1.1)/O31,(O31-N31)/O31)</f>
        <v/>
      </c>
      <c r="Q31" s="87">
        <f>(K31-N31)/K31</f>
        <v/>
      </c>
      <c r="R31" s="87">
        <f>(L31-O31)/L31</f>
        <v/>
      </c>
      <c r="S31" s="43" t="n"/>
    </row>
  </sheetData>
  <mergeCells count="14">
    <mergeCell ref="B4:B5"/>
    <mergeCell ref="C4:C5"/>
    <mergeCell ref="A4:A5"/>
    <mergeCell ref="G4:G5"/>
    <mergeCell ref="D4:D5"/>
    <mergeCell ref="J4:J5"/>
    <mergeCell ref="I4:I5"/>
    <mergeCell ref="A1:S1"/>
    <mergeCell ref="K4:P4"/>
    <mergeCell ref="E4:E5"/>
    <mergeCell ref="F4:F5"/>
    <mergeCell ref="H4:H5"/>
    <mergeCell ref="S4:S5"/>
    <mergeCell ref="Q4:R4"/>
  </mergeCells>
  <pageMargins left="0.7" right="0.7" top="0.75" bottom="0.75" header="0.3" footer="0.3"/>
  <pageSetup orientation="portrait" paperSize="9" scale="39" verticalDpi="429496729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2023-06-07T01:19:19Z</dcterms:created>
  <dcterms:modified xmlns:dcterms="http://purl.org/dc/terms/" xmlns:xsi="http://www.w3.org/2001/XMLSchema-instance" xsi:type="dcterms:W3CDTF">2026-09-22T00:50:03Z</dcterms:modified>
  <cp:lastModifiedBy>현제 하</cp:lastModifiedBy>
  <cp:lastPrinted>2023-06-07T01:20:35Z</cp:lastPrinted>
</cp:coreProperties>
</file>

<file path=docProps/custom.xml><?xml version="1.0" encoding="utf-8"?>
<Properties xmlns="http://schemas.openxmlformats.org/officeDocument/2006/custom-properties">
  <property name="Fasoo_Trace_ID" fmtid="{D5CDD505-2E9C-101B-9397-08002B2CF9AE}" pid="2">
    <vt:lpwstr xmlns:vt="http://schemas.openxmlformats.org/officeDocument/2006/docPropsVTypes">eyAibm9kZUNvdW50IjogMiwgIm5vZGUxIiA6IHsiZHNkIjoiMDEwMDAwMDAwMDAwMTg5NCIsImxvZ1RpbWUiOiIyMDIzLTA2LTA3VDAxOjMwOjUxWiIsInBJRCI6MSwidHJhY2VJZCI6IjlCMENCREQ4M0REODQ3N0M4RjgyM0I4RDg4QkVDMjIxIiwidXNlckNvZGUiOiIxODI1MzIxIn0sIm5vZGUyIiA6IHsiZHNkIjoiMDEwMDAwMDAwMDAwMTg5NCIsImxvZ1RpbWUiOiIyMDIzLTA2LTA3VDAxOjMwOjUxWiIsInBJRCI6MSwidHJhY2VJZCI6IjlCMENCREQ4M0REODQ3N0M4RjgyM0I4RDg4QkVDMjIxIiwidXNlckNvZGUiOiIxODI1MzIxIn0sIm5vZGUzIiA6IHsiZHNkIjoiMDEwMDAwMDAwMDAwMTg5NCIsImxvZ1RpbWUiOiIyMDIzLTA2LTA3VDAxOjMwOjUxWiIsInBJRCI6MSwidHJhY2VJZCI6IjlCMENCREQ4M0REODQ3N0M4RjgyM0I4RDg4QkVDMjIxIiwidXNlckNvZGUiOiIxODI1MzIxIn0sIm5vZGU0IiA6IHsiZHNkIjoiMDEwMDAwMDAwMDAwMTg5NCIsImxvZ1RpbWUiOiIyMDIzLTA2LTA3VDAxOjMwOjUxWiIsInBJRCI6MSwidHJhY2VJZCI6IjlCMENCREQ4M0REODQ3N0M4RjgyM0I4RDg4QkVDMjIxIiwidXNlckNvZGUiOiIxODI1MzIxIn0sIm5vZGU1IiA6IHsgInVzZXJDb2RlIiA6ICIxODI1MzIxIiwgInRyYWNlSWQiIDogIjFDMDNGRTg0NjAyRjg2NDU0RDRDRDY1MUUyMDk2MDVFIiwgImRzZCIgOiAiMDAwMDAwMDAwMDAwMDAwMCIsICJwSUQiIDogIjIwNDgiLCAibG9nVGltZSIgOiAiMjAyMy0wNi0wN1QwMzozMjozMloiIH19</vt:lpwstr>
  </property>
</Properties>
</file>